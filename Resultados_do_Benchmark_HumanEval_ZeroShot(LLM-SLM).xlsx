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 Executivo" sheetId="1" state="visible" r:id="rId3"/>
    <sheet name="Detalhamento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<sst xmlns="http://schemas.openxmlformats.org/spreadsheetml/2006/main" count="499" uniqueCount="110">
  <si>
    <t xml:space="preserve">Resultados do Benchmark (HumanEval) – Zero Shot</t>
  </si>
  <si>
    <t xml:space="preserve">Meus dados – modelos locais (Ollama) · HumanEval original, zero-shot, avaliador oficial human-eval</t>
  </si>
  <si>
    <t xml:space="preserve">Consolidação de desempenho, eficiência operacional e qualidade de código (Ordenado por Pass@1 decrescente)</t>
  </si>
  <si>
    <t xml:space="preserve">MODELO AVALIADO</t>
  </si>
  <si>
    <t xml:space="preserve">APROVAÇÃO (PASS@1)</t>
  </si>
  <si>
    <t xml:space="preserve">TOTAL DE TAREFAS</t>
  </si>
  <si>
    <t xml:space="preserve">LATÊNCIA MÉDIA</t>
  </si>
  <si>
    <t xml:space="preserve">NEMOTRON 3 ULTRA 550B</t>
  </si>
  <si>
    <t xml:space="preserve">15.06</t>
  </si>
  <si>
    <t xml:space="preserve">QWEN2.5-CODER 7B (Ollama, local)</t>
  </si>
  <si>
    <t xml:space="preserve">134 de 164 tarefas</t>
  </si>
  <si>
    <t xml:space="preserve">Escopo do benchmark</t>
  </si>
  <si>
    <t xml:space="preserve">Por requisição</t>
  </si>
  <si>
    <t xml:space="preserve">142 de 164 tarefas</t>
  </si>
  <si>
    <t xml:space="preserve">Métrica Avaliada</t>
  </si>
  <si>
    <t xml:space="preserve">Categoria</t>
  </si>
  <si>
    <t xml:space="preserve">Valor</t>
  </si>
  <si>
    <t xml:space="preserve">Unidade</t>
  </si>
  <si>
    <t xml:space="preserve">Observações Técnicas</t>
  </si>
  <si>
    <t xml:space="preserve">Total de Tarefas Avaliadas</t>
  </si>
  <si>
    <t xml:space="preserve">Execução</t>
  </si>
  <si>
    <t xml:space="preserve">tarefas</t>
  </si>
  <si>
    <t xml:space="preserve">Escopo integral analisado</t>
  </si>
  <si>
    <t xml:space="preserve">Soluções Aprovadas (Pass@1)</t>
  </si>
  <si>
    <t xml:space="preserve">149/164</t>
  </si>
  <si>
    <t xml:space="preserve">Acertos diretos de primeira tentativa</t>
  </si>
  <si>
    <t xml:space="preserve">142/164</t>
  </si>
  <si>
    <t xml:space="preserve">Taxa de Falha</t>
  </si>
  <si>
    <t xml:space="preserve">15/164</t>
  </si>
  <si>
    <t xml:space="preserve">Falhas de asserção / execução</t>
  </si>
  <si>
    <t xml:space="preserve">22/164</t>
  </si>
  <si>
    <t xml:space="preserve">Latência Média por Requisição</t>
  </si>
  <si>
    <t xml:space="preserve">Performance</t>
  </si>
  <si>
    <t xml:space="preserve">segundos</t>
  </si>
  <si>
    <t xml:space="preserve">Tempo médio de resposta</t>
  </si>
  <si>
    <t xml:space="preserve">Total de Tokens Processados</t>
  </si>
  <si>
    <t xml:space="preserve">tokens</t>
  </si>
  <si>
    <t xml:space="preserve">Volume consolidado de tokens</t>
  </si>
  <si>
    <t xml:space="preserve">Tokens Médios de Resposta</t>
  </si>
  <si>
    <t xml:space="preserve">tokens/tarefa</t>
  </si>
  <si>
    <t xml:space="preserve">Média de tokens gerados</t>
  </si>
  <si>
    <t xml:space="preserve">Complexidade Ciclomática Média</t>
  </si>
  <si>
    <t xml:space="preserve">Qualidade de Código</t>
  </si>
  <si>
    <t xml:space="preserve">escala CC</t>
  </si>
  <si>
    <t xml:space="preserve">Complexidade baixa (ideal &lt; 10)</t>
  </si>
  <si>
    <t xml:space="preserve">Índice de Manutenibilidade Médio</t>
  </si>
  <si>
    <t xml:space="preserve">82.0</t>
  </si>
  <si>
    <t xml:space="preserve">escala 0-100</t>
  </si>
  <si>
    <t xml:space="preserve">Facilidade de suporte do código</t>
  </si>
  <si>
    <t xml:space="preserve">Volume Halstead Médio</t>
  </si>
  <si>
    <t xml:space="preserve">escala Halstead</t>
  </si>
  <si>
    <t xml:space="preserve">Vocabulário e operadores da solução</t>
  </si>
  <si>
    <t xml:space="preserve">SLOC Médio (Linhas de Código)</t>
  </si>
  <si>
    <t xml:space="preserve">8.4</t>
  </si>
  <si>
    <t xml:space="preserve">linhas</t>
  </si>
  <si>
    <t xml:space="preserve">Linhas de código geradas por tarefa</t>
  </si>
  <si>
    <t xml:space="preserve">Gemini 3.5 Flash Lite</t>
  </si>
  <si>
    <t xml:space="preserve">QWEN2.5 7B (Ollama, local)</t>
  </si>
  <si>
    <t xml:space="preserve">145 de 164 tarefas</t>
  </si>
  <si>
    <t xml:space="preserve">122 de 164 tarefas</t>
  </si>
  <si>
    <t xml:space="preserve">145/164</t>
  </si>
  <si>
    <t xml:space="preserve">122/164</t>
  </si>
  <si>
    <t xml:space="preserve">19/164</t>
  </si>
  <si>
    <t xml:space="preserve">42/164</t>
  </si>
  <si>
    <t xml:space="preserve">47.39</t>
  </si>
  <si>
    <t xml:space="preserve">GPT OSS 120B</t>
  </si>
  <si>
    <t xml:space="preserve">GEMMA 3 4B (Ollama, local)</t>
  </si>
  <si>
    <t xml:space="preserve">139 de 164 tarefas</t>
  </si>
  <si>
    <t xml:space="preserve">113 de 164 tarefas</t>
  </si>
  <si>
    <t xml:space="preserve">139/164</t>
  </si>
  <si>
    <t xml:space="preserve">113/164</t>
  </si>
  <si>
    <t xml:space="preserve">25/164</t>
  </si>
  <si>
    <t xml:space="preserve">51/164</t>
  </si>
  <si>
    <t xml:space="preserve">KIMI K3</t>
  </si>
  <si>
    <t xml:space="preserve">LLAMA 3.1 8B (Ollama, local)</t>
  </si>
  <si>
    <t xml:space="preserve">Por tarefa</t>
  </si>
  <si>
    <t xml:space="preserve">134/164</t>
  </si>
  <si>
    <t xml:space="preserve">30/164</t>
  </si>
  <si>
    <t xml:space="preserve">Latência Média por Tarefa</t>
  </si>
  <si>
    <t xml:space="preserve">Consumo Total de Tokens</t>
  </si>
  <si>
    <t xml:space="preserve">Consumo Médio de Tokens/Task</t>
  </si>
  <si>
    <t xml:space="preserve">Média de tokens por tarefa</t>
  </si>
  <si>
    <t xml:space="preserve">Detalhamento das Métricas de Benchmark</t>
  </si>
  <si>
    <t xml:space="preserve">Modelo Avaliado: Gemini 3.5 Flash Lite</t>
  </si>
  <si>
    <t xml:space="preserve">1. Resolução e Conclusão de Tarefas</t>
  </si>
  <si>
    <t xml:space="preserve">Métrica</t>
  </si>
  <si>
    <t xml:space="preserve">Formato</t>
  </si>
  <si>
    <t xml:space="preserve">Tarefas Aprovadas (Pass@1)</t>
  </si>
  <si>
    <t xml:space="preserve">#,##0</t>
  </si>
  <si>
    <t xml:space="preserve">Soluções aprovadas na primeira tentativa</t>
  </si>
  <si>
    <t xml:space="preserve">Tarefas com Falha</t>
  </si>
  <si>
    <t xml:space="preserve">Soluções que falharam na validação</t>
  </si>
  <si>
    <t xml:space="preserve">Fórmula: Aprovadas + Falhas</t>
  </si>
  <si>
    <t xml:space="preserve">Taxa de Sucesso (Pass@1)</t>
  </si>
  <si>
    <t xml:space="preserve">0.00%</t>
  </si>
  <si>
    <t xml:space="preserve">percentual</t>
  </si>
  <si>
    <t xml:space="preserve">Fórmula: Aprovadas / Total</t>
  </si>
  <si>
    <t xml:space="preserve">Fórmula: Falhas / Total</t>
  </si>
  <si>
    <t xml:space="preserve">2. Performance e Consumo de Tokens</t>
  </si>
  <si>
    <t xml:space="preserve">0.0 "s"</t>
  </si>
  <si>
    <t xml:space="preserve">Tempo de resposta de ponta a ponta</t>
  </si>
  <si>
    <t xml:space="preserve">Consumo total de tokens no teste</t>
  </si>
  <si>
    <t xml:space="preserve">0.0</t>
  </si>
  <si>
    <t xml:space="preserve">Média de tokens de resposta</t>
  </si>
  <si>
    <t xml:space="preserve">3. Qualidade do Código Gerado</t>
  </si>
  <si>
    <t xml:space="preserve">0.00</t>
  </si>
  <si>
    <t xml:space="preserve">Complexidade baixa e código limpo</t>
  </si>
  <si>
    <t xml:space="preserve">Boa facilidade de manutenção</t>
  </si>
  <si>
    <t xml:space="preserve">Baixo esforço de implementação</t>
  </si>
  <si>
    <t xml:space="preserve">Média concisa de linhas de código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</si>
</sst>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%"/>
    <numFmt numFmtId="166" formatCode="#,##0"/>
    <numFmt numFmtId="167" formatCode="0.0&quot; s&quot;"/>
    <numFmt numFmtId="168" formatCode="0.0"/>
    <numFmt numFmtId="169" formatCode="0.0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C9211E"/>
      <name val="Calibri"/>
      <family val="2"/>
      <charset val="1"/>
    </font>
    <font>
      <b val="true"/>
      <sz val="16"/>
      <color rgb="FF0F172A"/>
      <name val="Segoe UI"/>
      <family val="0"/>
      <charset val="1"/>
    </font>
    <font>
      <i val="true"/>
      <sz val="9.5"/>
      <color rgb="FF64748B"/>
      <name val="Segoe UI"/>
      <family val="0"/>
      <charset val="1"/>
    </font>
    <font>
      <b val="true"/>
      <sz val="8.5"/>
      <color rgb="FF1D4ED8"/>
      <name val="Segoe UI"/>
      <family val="0"/>
      <charset val="1"/>
    </font>
    <font>
      <b val="true"/>
      <sz val="7"/>
      <color rgb="FF64748B"/>
      <name val="Segoe UI"/>
      <family val="0"/>
      <charset val="1"/>
    </font>
    <font>
      <b val="true"/>
      <sz val="8.5"/>
      <color rgb="FF64748B"/>
      <name val="Segoe UI"/>
      <family val="0"/>
      <charset val="1"/>
    </font>
    <font>
      <b val="true"/>
      <sz val="14"/>
      <color rgb="FF1D4ED8"/>
      <name val="Segoe UI"/>
      <family val="0"/>
      <charset val="1"/>
    </font>
    <font>
      <b val="true"/>
      <sz val="14"/>
      <color rgb="FF15803D"/>
      <name val="Segoe UI"/>
      <family val="0"/>
      <charset val="1"/>
    </font>
    <font>
      <b val="true"/>
      <sz val="14"/>
      <color rgb="FF0F172A"/>
      <name val="Segoe UI"/>
      <family val="0"/>
      <charset val="1"/>
    </font>
    <font>
      <sz val="8.5"/>
      <color rgb="FF64748B"/>
      <name val="Segoe UI"/>
      <family val="0"/>
      <charset val="1"/>
    </font>
    <font>
      <b val="true"/>
      <sz val="9.5"/>
      <color rgb="FFFFFFFF"/>
      <name val="Segoe UI"/>
      <family val="0"/>
      <charset val="1"/>
    </font>
    <font>
      <b val="true"/>
      <sz val="9.5"/>
      <color rgb="FF0F172A"/>
      <name val="Segoe UI"/>
      <family val="0"/>
      <charset val="1"/>
    </font>
    <font>
      <sz val="9"/>
      <color rgb="FF64748B"/>
      <name val="Segoe UI"/>
      <family val="0"/>
      <charset val="1"/>
    </font>
    <font>
      <b val="true"/>
      <sz val="9.5"/>
      <color rgb="FF15803D"/>
      <name val="Segoe UI"/>
      <family val="0"/>
      <charset val="1"/>
    </font>
    <font>
      <b val="true"/>
      <sz val="9.5"/>
      <color rgb="FFB91C1C"/>
      <name val="Segoe UI"/>
      <family val="0"/>
      <charset val="1"/>
    </font>
    <font>
      <b val="true"/>
      <sz val="15"/>
      <color rgb="FF0F172A"/>
      <name val="Segoe UI"/>
      <family val="0"/>
      <charset val="1"/>
    </font>
    <font>
      <b val="true"/>
      <sz val="10"/>
      <color rgb="FF1D4ED8"/>
      <name val="Segoe UI"/>
      <family val="0"/>
      <charset val="1"/>
    </font>
    <font>
      <b val="true"/>
      <sz val="10.5"/>
      <color rgb="FFFFFFFF"/>
      <name val="Segoe UI"/>
      <family val="0"/>
      <charset val="1"/>
    </font>
    <font>
      <sz val="9.5"/>
      <color rgb="FF0F172A"/>
      <name val="Segoe UI"/>
      <family val="0"/>
      <charset val="1"/>
    </font>
    <font>
      <sz val="9.5"/>
      <color rgb="FF64748B"/>
      <name val="Segoe U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00000"/>
        <bgColor rgb="FF0F172A"/>
      </patternFill>
    </fill>
    <fill>
      <patternFill patternType="solid">
        <fgColor rgb="FFEFF6FF"/>
        <bgColor rgb="FFF8FAFC"/>
      </patternFill>
    </fill>
    <fill>
      <patternFill patternType="solid">
        <fgColor rgb="FFF0FDF4"/>
        <bgColor rgb="FFF8FAFC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0F172A"/>
      </patternFill>
    </fill>
    <fill>
      <patternFill patternType="solid">
        <fgColor rgb="FFFFFFFF"/>
        <bgColor rgb="FFF8FAFC"/>
      </patternFill>
    </fill>
    <fill>
      <patternFill patternType="solid">
        <fgColor rgb="FF334155"/>
        <bgColor rgb="FF1E293B"/>
      </patternFill>
    </fill>
    <fill>
      <patternFill patternType="solid">
        <fgColor rgb="FFE2E8F0"/>
        <bgColor rgb="FFEFF6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medium">
        <color rgb="FF3B82F6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 diagonalUp="false" diagonalDown="false"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7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5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5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5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7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8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9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5" fillId="5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7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5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5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5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5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5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5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5" fillId="5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5" fillId="5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5803D"/>
      <rgbColor rgb="FF000080"/>
      <rgbColor rgb="FF808000"/>
      <rgbColor rgb="FF800080"/>
      <rgbColor rgb="FF008080"/>
      <rgbColor rgb="FFC0C0C0"/>
      <rgbColor rgb="FF808080"/>
      <rgbColor rgb="FF9999FF"/>
      <rgbColor rgb="FFC9211E"/>
      <rgbColor rgb="FFF0FDF4"/>
      <rgbColor rgb="FFEFF6FF"/>
      <rgbColor rgb="FF660066"/>
      <rgbColor rgb="FFFF8080"/>
      <rgbColor rgb="FF1D4ED8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8F0"/>
      <rgbColor rgb="FFF8FAFC"/>
      <rgbColor rgb="FFFFFF99"/>
      <rgbColor rgb="FFBFDBFE"/>
      <rgbColor rgb="FFFF99CC"/>
      <rgbColor rgb="FFCC99FF"/>
      <rgbColor rgb="FFFFCC99"/>
      <rgbColor rgb="FF3B82F6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F172A"/>
      <rgbColor rgb="FF333300"/>
      <rgbColor rgb="FFB91C1C"/>
      <rgbColor rgb="FF993366"/>
      <rgbColor rgb="FF334155"/>
      <rgbColor rgb="FF1E29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0"/>
  <sheetViews>
    <sheetView showFormulas="false" showGridLines="true" showRowColHeaders="true" showZeros="true" rightToLeft="false" tabSelected="true" showOutlineSymbols="true" defaultGridColor="true" view="normal" topLeftCell="A3" colorId="64" zoomScale="50" zoomScaleNormal="50" zoomScalePageLayoutView="100" workbookViewId="0">
      <selection pane="topLeft" activeCell="F3" activeCellId="0" sqref="F3"/>
    </sheetView>
  </sheetViews>
  <sheetFormatPr defaultColWidth="8.570312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1.86"/>
    <col collapsed="false" customWidth="true" hidden="false" outlineLevel="0" max="3" min="3" style="0" width="24.71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36"/>
    <col collapsed="false" customWidth="true" hidden="false" outlineLevel="0" max="7" min="7" style="0" width="3"/>
    <col collapsed="false" customWidth="true" hidden="false" outlineLevel="0" max="8" min="8" style="0" width="31.86"/>
    <col collapsed="false" customWidth="true" hidden="false" outlineLevel="0" max="9" min="9" style="0" width="24.71"/>
    <col collapsed="false" customWidth="true" hidden="false" outlineLevel="0" max="10" min="10" style="0" width="20"/>
    <col collapsed="false" customWidth="true" hidden="false" outlineLevel="0" max="11" min="11" style="0" width="18"/>
    <col collapsed="false" customWidth="true" hidden="false" outlineLevel="0" max="12" min="12" style="0" width="36"/>
    <col collapsed="false" customWidth="true" hidden="false" outlineLevel="0" max="13" min="13" style="0" width="2.76"/>
  </cols>
  <sheetData>
    <row r="1" customFormat="false" ht="15" hidden="false" customHeight="true" outlineLevel="0" collapsed="false">
      <c r="A1" s="1"/>
      <c r="B1" s="2"/>
      <c r="C1" s="2"/>
      <c r="D1" s="3"/>
      <c r="E1" s="2"/>
      <c r="F1" s="2"/>
      <c r="H1" s="1"/>
      <c r="I1" s="1"/>
      <c r="J1" s="1"/>
      <c r="K1" s="1"/>
      <c r="L1" s="1"/>
      <c r="M1" s="1"/>
    </row>
    <row r="2" customFormat="false" ht="27.75" hidden="false" customHeight="true" outlineLevel="0" collapsed="false">
      <c r="A2" s="1"/>
      <c r="B2" s="4" t="s">
        <v>0</v>
      </c>
      <c r="D2" s="5"/>
      <c r="H2" s="6" t="s">
        <v>1</v>
      </c>
      <c r="M2" s="1"/>
    </row>
    <row r="3" customFormat="false" ht="18" hidden="false" customHeight="true" outlineLevel="0" collapsed="false">
      <c r="A3" s="1"/>
      <c r="B3" s="6" t="s">
        <v>2</v>
      </c>
      <c r="D3" s="5"/>
      <c r="M3" s="1"/>
    </row>
    <row r="4" customFormat="false" ht="15" hidden="false" customHeight="true" outlineLevel="0" collapsed="false">
      <c r="A4" s="1"/>
      <c r="D4" s="5"/>
      <c r="M4" s="1"/>
    </row>
    <row r="5" customFormat="false" ht="16.5" hidden="false" customHeight="true" outlineLevel="0" collapsed="false">
      <c r="A5" s="1"/>
      <c r="B5" s="7" t="s">
        <v>3</v>
      </c>
      <c r="C5" s="7"/>
      <c r="D5" s="8" t="s">
        <v>4</v>
      </c>
      <c r="E5" s="9" t="s">
        <v>5</v>
      </c>
      <c r="F5" s="9" t="s">
        <v>6</v>
      </c>
      <c r="H5" s="7" t="s">
        <v>3</v>
      </c>
      <c r="I5" s="7"/>
      <c r="J5" s="8" t="s">
        <v>4</v>
      </c>
      <c r="K5" s="9" t="s">
        <v>5</v>
      </c>
      <c r="L5" s="9" t="s">
        <v>6</v>
      </c>
      <c r="M5" s="1"/>
    </row>
    <row r="6" customFormat="false" ht="24.75" hidden="false" customHeight="true" outlineLevel="0" collapsed="false">
      <c r="A6" s="1"/>
      <c r="B6" s="10" t="s">
        <v>7</v>
      </c>
      <c r="C6" s="10"/>
      <c r="D6" s="11" t="n">
        <v>0.9085</v>
      </c>
      <c r="E6" s="12" t="n">
        <v>164</v>
      </c>
      <c r="F6" s="13" t="s">
        <v>8</v>
      </c>
      <c r="H6" s="10" t="s">
        <v>9</v>
      </c>
      <c r="I6" s="10"/>
      <c r="J6" s="11" t="n">
        <v>0.8659</v>
      </c>
      <c r="K6" s="12" t="n">
        <v>164</v>
      </c>
      <c r="L6" s="13" t="n">
        <v>4.7</v>
      </c>
      <c r="M6" s="1"/>
    </row>
    <row r="7" customFormat="false" ht="16.5" hidden="false" customHeight="true" outlineLevel="0" collapsed="false">
      <c r="A7" s="1"/>
      <c r="B7" s="10"/>
      <c r="C7" s="10"/>
      <c r="D7" s="14" t="s">
        <v>10</v>
      </c>
      <c r="E7" s="15" t="s">
        <v>11</v>
      </c>
      <c r="F7" s="15" t="s">
        <v>12</v>
      </c>
      <c r="H7" s="10"/>
      <c r="I7" s="10"/>
      <c r="J7" s="14" t="s">
        <v>13</v>
      </c>
      <c r="K7" s="15" t="s">
        <v>11</v>
      </c>
      <c r="L7" s="15" t="s">
        <v>12</v>
      </c>
      <c r="M7" s="1"/>
    </row>
    <row r="8" customFormat="false" ht="13.5" hidden="false" customHeight="true" outlineLevel="0" collapsed="false">
      <c r="A8" s="1"/>
      <c r="B8" s="16" t="s">
        <v>14</v>
      </c>
      <c r="C8" s="16" t="s">
        <v>15</v>
      </c>
      <c r="D8" s="17" t="s">
        <v>16</v>
      </c>
      <c r="E8" s="17" t="s">
        <v>17</v>
      </c>
      <c r="F8" s="16" t="s">
        <v>18</v>
      </c>
      <c r="H8" s="16" t="s">
        <v>14</v>
      </c>
      <c r="I8" s="16" t="s">
        <v>15</v>
      </c>
      <c r="J8" s="17" t="s">
        <v>16</v>
      </c>
      <c r="K8" s="17" t="s">
        <v>17</v>
      </c>
      <c r="L8" s="16" t="s">
        <v>18</v>
      </c>
      <c r="M8" s="1"/>
    </row>
    <row r="9" customFormat="false" ht="24" hidden="false" customHeight="true" outlineLevel="0" collapsed="false">
      <c r="A9" s="1"/>
      <c r="B9" s="18" t="s">
        <v>19</v>
      </c>
      <c r="C9" s="19" t="s">
        <v>20</v>
      </c>
      <c r="D9" s="20" t="n">
        <v>164</v>
      </c>
      <c r="E9" s="21" t="s">
        <v>21</v>
      </c>
      <c r="F9" s="22" t="s">
        <v>22</v>
      </c>
      <c r="H9" s="18" t="s">
        <v>19</v>
      </c>
      <c r="I9" s="19" t="s">
        <v>20</v>
      </c>
      <c r="J9" s="20" t="n">
        <v>164</v>
      </c>
      <c r="K9" s="21" t="s">
        <v>21</v>
      </c>
      <c r="L9" s="22" t="s">
        <v>22</v>
      </c>
      <c r="M9" s="1"/>
    </row>
    <row r="10" customFormat="false" ht="19.5" hidden="false" customHeight="true" outlineLevel="0" collapsed="false">
      <c r="A10" s="1"/>
      <c r="B10" s="23" t="s">
        <v>23</v>
      </c>
      <c r="C10" s="24" t="s">
        <v>20</v>
      </c>
      <c r="D10" s="25" t="n">
        <v>0.9085</v>
      </c>
      <c r="E10" s="26" t="s">
        <v>24</v>
      </c>
      <c r="F10" s="27" t="s">
        <v>25</v>
      </c>
      <c r="H10" s="23" t="s">
        <v>23</v>
      </c>
      <c r="I10" s="24" t="s">
        <v>20</v>
      </c>
      <c r="J10" s="25" t="n">
        <v>0.8659</v>
      </c>
      <c r="K10" s="26" t="s">
        <v>26</v>
      </c>
      <c r="L10" s="27" t="s">
        <v>25</v>
      </c>
      <c r="M10" s="1"/>
    </row>
    <row r="11" customFormat="false" ht="19.5" hidden="false" customHeight="true" outlineLevel="0" collapsed="false">
      <c r="A11" s="1"/>
      <c r="B11" s="18" t="s">
        <v>27</v>
      </c>
      <c r="C11" s="19" t="s">
        <v>20</v>
      </c>
      <c r="D11" s="28" t="n">
        <v>0.0915</v>
      </c>
      <c r="E11" s="21" t="s">
        <v>28</v>
      </c>
      <c r="F11" s="22" t="s">
        <v>29</v>
      </c>
      <c r="H11" s="18" t="s">
        <v>27</v>
      </c>
      <c r="I11" s="19" t="s">
        <v>20</v>
      </c>
      <c r="J11" s="28" t="n">
        <v>0.1341</v>
      </c>
      <c r="K11" s="21" t="s">
        <v>30</v>
      </c>
      <c r="L11" s="22" t="s">
        <v>29</v>
      </c>
      <c r="M11" s="1"/>
    </row>
    <row r="12" customFormat="false" ht="19.5" hidden="false" customHeight="true" outlineLevel="0" collapsed="false">
      <c r="A12" s="1"/>
      <c r="B12" s="23" t="s">
        <v>31</v>
      </c>
      <c r="C12" s="24" t="s">
        <v>32</v>
      </c>
      <c r="D12" s="29" t="n">
        <v>15.06</v>
      </c>
      <c r="E12" s="26" t="s">
        <v>33</v>
      </c>
      <c r="F12" s="27" t="s">
        <v>34</v>
      </c>
      <c r="H12" s="23" t="s">
        <v>31</v>
      </c>
      <c r="I12" s="24" t="s">
        <v>32</v>
      </c>
      <c r="J12" s="29" t="n">
        <v>4.7</v>
      </c>
      <c r="K12" s="26" t="s">
        <v>33</v>
      </c>
      <c r="L12" s="27" t="s">
        <v>34</v>
      </c>
      <c r="M12" s="1"/>
    </row>
    <row r="13" customFormat="false" ht="19.5" hidden="false" customHeight="true" outlineLevel="0" collapsed="false">
      <c r="A13" s="1"/>
      <c r="B13" s="18" t="s">
        <v>35</v>
      </c>
      <c r="C13" s="19" t="s">
        <v>32</v>
      </c>
      <c r="D13" s="20" t="n">
        <v>182957</v>
      </c>
      <c r="E13" s="21" t="s">
        <v>36</v>
      </c>
      <c r="F13" s="22" t="s">
        <v>37</v>
      </c>
      <c r="H13" s="18" t="s">
        <v>35</v>
      </c>
      <c r="I13" s="19" t="s">
        <v>32</v>
      </c>
      <c r="J13" s="20" t="n">
        <v>62659</v>
      </c>
      <c r="K13" s="21" t="s">
        <v>36</v>
      </c>
      <c r="L13" s="22" t="s">
        <v>37</v>
      </c>
      <c r="M13" s="1"/>
    </row>
    <row r="14" customFormat="false" ht="19.5" hidden="false" customHeight="true" outlineLevel="0" collapsed="false">
      <c r="A14" s="1"/>
      <c r="B14" s="23" t="s">
        <v>38</v>
      </c>
      <c r="C14" s="24" t="s">
        <v>32</v>
      </c>
      <c r="D14" s="30" t="n">
        <v>877.4</v>
      </c>
      <c r="E14" s="26" t="s">
        <v>39</v>
      </c>
      <c r="F14" s="27" t="s">
        <v>40</v>
      </c>
      <c r="H14" s="23" t="s">
        <v>38</v>
      </c>
      <c r="I14" s="24" t="s">
        <v>32</v>
      </c>
      <c r="J14" s="30" t="n">
        <v>198.8</v>
      </c>
      <c r="K14" s="26" t="s">
        <v>39</v>
      </c>
      <c r="L14" s="27" t="s">
        <v>40</v>
      </c>
      <c r="M14" s="1"/>
    </row>
    <row r="15" customFormat="false" ht="19.5" hidden="false" customHeight="true" outlineLevel="0" collapsed="false">
      <c r="A15" s="1"/>
      <c r="B15" s="18" t="s">
        <v>41</v>
      </c>
      <c r="C15" s="19" t="s">
        <v>42</v>
      </c>
      <c r="D15" s="31" t="n">
        <v>3.76</v>
      </c>
      <c r="E15" s="21" t="s">
        <v>43</v>
      </c>
      <c r="F15" s="22" t="s">
        <v>44</v>
      </c>
      <c r="H15" s="18" t="s">
        <v>41</v>
      </c>
      <c r="I15" s="19" t="s">
        <v>42</v>
      </c>
      <c r="J15" s="31" t="n">
        <v>3.33</v>
      </c>
      <c r="K15" s="21" t="s">
        <v>43</v>
      </c>
      <c r="L15" s="22" t="s">
        <v>44</v>
      </c>
      <c r="M15" s="1"/>
    </row>
    <row r="16" customFormat="false" ht="19.5" hidden="false" customHeight="true" outlineLevel="0" collapsed="false">
      <c r="A16" s="1"/>
      <c r="B16" s="23" t="s">
        <v>45</v>
      </c>
      <c r="C16" s="24" t="s">
        <v>42</v>
      </c>
      <c r="D16" s="31" t="s">
        <v>46</v>
      </c>
      <c r="E16" s="26" t="s">
        <v>47</v>
      </c>
      <c r="F16" s="27" t="s">
        <v>48</v>
      </c>
      <c r="H16" s="23" t="s">
        <v>45</v>
      </c>
      <c r="I16" s="24" t="s">
        <v>42</v>
      </c>
      <c r="J16" s="31" t="n">
        <v>87.96</v>
      </c>
      <c r="K16" s="26" t="s">
        <v>47</v>
      </c>
      <c r="L16" s="27" t="s">
        <v>48</v>
      </c>
      <c r="M16" s="1"/>
    </row>
    <row r="17" customFormat="false" ht="19.5" hidden="false" customHeight="true" outlineLevel="0" collapsed="false">
      <c r="A17" s="1"/>
      <c r="B17" s="18" t="s">
        <v>49</v>
      </c>
      <c r="C17" s="19" t="s">
        <v>42</v>
      </c>
      <c r="D17" s="31" t="n">
        <v>49.33</v>
      </c>
      <c r="E17" s="21" t="s">
        <v>50</v>
      </c>
      <c r="F17" s="22" t="s">
        <v>51</v>
      </c>
      <c r="H17" s="18" t="s">
        <v>49</v>
      </c>
      <c r="I17" s="19" t="s">
        <v>42</v>
      </c>
      <c r="J17" s="31" t="n">
        <v>50.07</v>
      </c>
      <c r="K17" s="21" t="s">
        <v>50</v>
      </c>
      <c r="L17" s="22" t="s">
        <v>51</v>
      </c>
      <c r="M17" s="1"/>
    </row>
    <row r="18" customFormat="false" ht="19.5" hidden="false" customHeight="true" outlineLevel="0" collapsed="false">
      <c r="A18" s="1"/>
      <c r="B18" s="23" t="s">
        <v>52</v>
      </c>
      <c r="C18" s="24" t="s">
        <v>42</v>
      </c>
      <c r="D18" s="31" t="s">
        <v>53</v>
      </c>
      <c r="E18" s="26" t="s">
        <v>54</v>
      </c>
      <c r="F18" s="27" t="s">
        <v>55</v>
      </c>
      <c r="H18" s="23" t="s">
        <v>52</v>
      </c>
      <c r="I18" s="24" t="s">
        <v>42</v>
      </c>
      <c r="J18" s="31" t="n">
        <v>10.5</v>
      </c>
      <c r="K18" s="26" t="s">
        <v>54</v>
      </c>
      <c r="L18" s="27" t="s">
        <v>55</v>
      </c>
      <c r="M18" s="1"/>
    </row>
    <row r="19" customFormat="false" ht="12.75" hidden="false" customHeight="true" outlineLevel="0" collapsed="false">
      <c r="A19" s="1"/>
      <c r="M19" s="1"/>
    </row>
    <row r="20" customFormat="false" ht="13.5" hidden="false" customHeight="true" outlineLevel="0" collapsed="false">
      <c r="A20" s="1"/>
      <c r="D20" s="5"/>
      <c r="M20" s="1"/>
    </row>
    <row r="21" customFormat="false" ht="16.5" hidden="false" customHeight="true" outlineLevel="0" collapsed="false">
      <c r="A21" s="1"/>
      <c r="B21" s="7" t="s">
        <v>3</v>
      </c>
      <c r="C21" s="7"/>
      <c r="D21" s="8" t="s">
        <v>4</v>
      </c>
      <c r="E21" s="9" t="s">
        <v>5</v>
      </c>
      <c r="F21" s="9" t="s">
        <v>6</v>
      </c>
      <c r="H21" s="7" t="s">
        <v>3</v>
      </c>
      <c r="I21" s="7"/>
      <c r="J21" s="8" t="s">
        <v>4</v>
      </c>
      <c r="K21" s="9" t="s">
        <v>5</v>
      </c>
      <c r="L21" s="9" t="s">
        <v>6</v>
      </c>
      <c r="M21" s="1"/>
    </row>
    <row r="22" customFormat="false" ht="24.75" hidden="false" customHeight="true" outlineLevel="0" collapsed="false">
      <c r="A22" s="1"/>
      <c r="B22" s="10" t="s">
        <v>56</v>
      </c>
      <c r="C22" s="10"/>
      <c r="D22" s="11" t="n">
        <v>0.8841</v>
      </c>
      <c r="E22" s="12" t="n">
        <v>164</v>
      </c>
      <c r="F22" s="13" t="n">
        <v>1.24</v>
      </c>
      <c r="H22" s="10" t="s">
        <v>57</v>
      </c>
      <c r="I22" s="10"/>
      <c r="J22" s="11" t="n">
        <v>0.7439</v>
      </c>
      <c r="K22" s="12" t="n">
        <v>164</v>
      </c>
      <c r="L22" s="13" t="n">
        <v>5.66</v>
      </c>
      <c r="M22" s="1"/>
    </row>
    <row r="23" customFormat="false" ht="16.5" hidden="false" customHeight="true" outlineLevel="0" collapsed="false">
      <c r="A23" s="1"/>
      <c r="B23" s="10"/>
      <c r="C23" s="10"/>
      <c r="D23" s="14" t="s">
        <v>58</v>
      </c>
      <c r="E23" s="15" t="s">
        <v>11</v>
      </c>
      <c r="F23" s="15" t="s">
        <v>12</v>
      </c>
      <c r="H23" s="10"/>
      <c r="I23" s="10"/>
      <c r="J23" s="14" t="s">
        <v>59</v>
      </c>
      <c r="K23" s="15" t="s">
        <v>11</v>
      </c>
      <c r="L23" s="15" t="s">
        <v>12</v>
      </c>
      <c r="M23" s="1"/>
    </row>
    <row r="24" customFormat="false" ht="13.5" hidden="false" customHeight="true" outlineLevel="0" collapsed="false">
      <c r="A24" s="1"/>
      <c r="B24" s="16" t="s">
        <v>14</v>
      </c>
      <c r="C24" s="16" t="s">
        <v>15</v>
      </c>
      <c r="D24" s="17" t="s">
        <v>16</v>
      </c>
      <c r="E24" s="17" t="s">
        <v>17</v>
      </c>
      <c r="F24" s="16" t="s">
        <v>18</v>
      </c>
      <c r="H24" s="16" t="s">
        <v>14</v>
      </c>
      <c r="I24" s="16" t="s">
        <v>15</v>
      </c>
      <c r="J24" s="17" t="s">
        <v>16</v>
      </c>
      <c r="K24" s="17" t="s">
        <v>17</v>
      </c>
      <c r="L24" s="16" t="s">
        <v>18</v>
      </c>
      <c r="M24" s="1"/>
    </row>
    <row r="25" customFormat="false" ht="24" hidden="false" customHeight="true" outlineLevel="0" collapsed="false">
      <c r="A25" s="1"/>
      <c r="B25" s="18" t="s">
        <v>19</v>
      </c>
      <c r="C25" s="19" t="s">
        <v>20</v>
      </c>
      <c r="D25" s="20" t="n">
        <v>164</v>
      </c>
      <c r="E25" s="21" t="s">
        <v>21</v>
      </c>
      <c r="F25" s="22" t="s">
        <v>22</v>
      </c>
      <c r="H25" s="18" t="s">
        <v>19</v>
      </c>
      <c r="I25" s="19" t="s">
        <v>20</v>
      </c>
      <c r="J25" s="20" t="n">
        <v>164</v>
      </c>
      <c r="K25" s="21" t="s">
        <v>21</v>
      </c>
      <c r="L25" s="22" t="s">
        <v>22</v>
      </c>
      <c r="M25" s="1"/>
    </row>
    <row r="26" customFormat="false" ht="19.5" hidden="false" customHeight="true" outlineLevel="0" collapsed="false">
      <c r="A26" s="1"/>
      <c r="B26" s="23" t="s">
        <v>23</v>
      </c>
      <c r="C26" s="24" t="s">
        <v>20</v>
      </c>
      <c r="D26" s="25" t="n">
        <v>0.8841</v>
      </c>
      <c r="E26" s="26" t="s">
        <v>60</v>
      </c>
      <c r="F26" s="27" t="s">
        <v>25</v>
      </c>
      <c r="H26" s="23" t="s">
        <v>23</v>
      </c>
      <c r="I26" s="24" t="s">
        <v>20</v>
      </c>
      <c r="J26" s="25" t="n">
        <v>0.7439</v>
      </c>
      <c r="K26" s="26" t="s">
        <v>61</v>
      </c>
      <c r="L26" s="27" t="s">
        <v>25</v>
      </c>
      <c r="M26" s="1"/>
    </row>
    <row r="27" customFormat="false" ht="19.5" hidden="false" customHeight="true" outlineLevel="0" collapsed="false">
      <c r="A27" s="1"/>
      <c r="B27" s="18" t="s">
        <v>27</v>
      </c>
      <c r="C27" s="19" t="s">
        <v>20</v>
      </c>
      <c r="D27" s="28" t="n">
        <v>0.1159</v>
      </c>
      <c r="E27" s="21" t="s">
        <v>62</v>
      </c>
      <c r="F27" s="22" t="s">
        <v>29</v>
      </c>
      <c r="H27" s="18" t="s">
        <v>27</v>
      </c>
      <c r="I27" s="19" t="s">
        <v>20</v>
      </c>
      <c r="J27" s="28" t="n">
        <v>0.2561</v>
      </c>
      <c r="K27" s="21" t="s">
        <v>63</v>
      </c>
      <c r="L27" s="22" t="s">
        <v>29</v>
      </c>
      <c r="M27" s="1"/>
    </row>
    <row r="28" customFormat="false" ht="19.5" hidden="false" customHeight="true" outlineLevel="0" collapsed="false">
      <c r="A28" s="1"/>
      <c r="B28" s="23" t="s">
        <v>31</v>
      </c>
      <c r="C28" s="24" t="s">
        <v>32</v>
      </c>
      <c r="D28" s="29" t="n">
        <v>1.2</v>
      </c>
      <c r="E28" s="26" t="s">
        <v>33</v>
      </c>
      <c r="F28" s="27" t="s">
        <v>34</v>
      </c>
      <c r="H28" s="23" t="s">
        <v>31</v>
      </c>
      <c r="I28" s="24" t="s">
        <v>32</v>
      </c>
      <c r="J28" s="29" t="n">
        <v>5.66</v>
      </c>
      <c r="K28" s="26" t="s">
        <v>33</v>
      </c>
      <c r="L28" s="27" t="s">
        <v>34</v>
      </c>
      <c r="M28" s="1"/>
    </row>
    <row r="29" customFormat="false" ht="19.5" hidden="false" customHeight="true" outlineLevel="0" collapsed="false">
      <c r="A29" s="1"/>
      <c r="B29" s="18" t="s">
        <v>35</v>
      </c>
      <c r="C29" s="19" t="s">
        <v>32</v>
      </c>
      <c r="D29" s="20" t="n">
        <v>60354</v>
      </c>
      <c r="E29" s="21" t="s">
        <v>36</v>
      </c>
      <c r="F29" s="22" t="s">
        <v>37</v>
      </c>
      <c r="H29" s="18" t="s">
        <v>35</v>
      </c>
      <c r="I29" s="19" t="s">
        <v>32</v>
      </c>
      <c r="J29" s="20" t="n">
        <v>75007</v>
      </c>
      <c r="K29" s="21" t="s">
        <v>36</v>
      </c>
      <c r="L29" s="22" t="s">
        <v>37</v>
      </c>
      <c r="M29" s="1"/>
    </row>
    <row r="30" customFormat="false" ht="19.5" hidden="false" customHeight="true" outlineLevel="0" collapsed="false">
      <c r="A30" s="1"/>
      <c r="B30" s="23" t="s">
        <v>38</v>
      </c>
      <c r="C30" s="24" t="s">
        <v>32</v>
      </c>
      <c r="D30" s="30" t="n">
        <v>138.7</v>
      </c>
      <c r="E30" s="26" t="s">
        <v>39</v>
      </c>
      <c r="F30" s="27" t="s">
        <v>40</v>
      </c>
      <c r="H30" s="23" t="s">
        <v>38</v>
      </c>
      <c r="I30" s="24" t="s">
        <v>32</v>
      </c>
      <c r="J30" s="30" t="n">
        <v>274.1</v>
      </c>
      <c r="K30" s="26" t="s">
        <v>39</v>
      </c>
      <c r="L30" s="27" t="s">
        <v>40</v>
      </c>
      <c r="M30" s="1"/>
    </row>
    <row r="31" customFormat="false" ht="19.5" hidden="false" customHeight="true" outlineLevel="0" collapsed="false">
      <c r="A31" s="1"/>
      <c r="B31" s="18" t="s">
        <v>41</v>
      </c>
      <c r="C31" s="19" t="s">
        <v>42</v>
      </c>
      <c r="D31" s="31" t="n">
        <v>3.55</v>
      </c>
      <c r="E31" s="21" t="s">
        <v>43</v>
      </c>
      <c r="F31" s="22" t="s">
        <v>44</v>
      </c>
      <c r="H31" s="18" t="s">
        <v>41</v>
      </c>
      <c r="I31" s="19" t="s">
        <v>42</v>
      </c>
      <c r="J31" s="31" t="n">
        <v>3.52</v>
      </c>
      <c r="K31" s="21" t="s">
        <v>43</v>
      </c>
      <c r="L31" s="22" t="s">
        <v>44</v>
      </c>
      <c r="M31" s="1"/>
    </row>
    <row r="32" customFormat="false" ht="19.5" hidden="false" customHeight="true" outlineLevel="0" collapsed="false">
      <c r="A32" s="1"/>
      <c r="B32" s="23" t="s">
        <v>45</v>
      </c>
      <c r="C32" s="24" t="s">
        <v>42</v>
      </c>
      <c r="D32" s="32" t="n">
        <v>82.38</v>
      </c>
      <c r="E32" s="26" t="s">
        <v>47</v>
      </c>
      <c r="F32" s="27" t="s">
        <v>48</v>
      </c>
      <c r="H32" s="23" t="s">
        <v>45</v>
      </c>
      <c r="I32" s="24" t="s">
        <v>42</v>
      </c>
      <c r="J32" s="32" t="n">
        <v>85.9</v>
      </c>
      <c r="K32" s="26" t="s">
        <v>47</v>
      </c>
      <c r="L32" s="27" t="s">
        <v>48</v>
      </c>
      <c r="M32" s="1"/>
    </row>
    <row r="33" customFormat="false" ht="19.5" hidden="false" customHeight="true" outlineLevel="0" collapsed="false">
      <c r="A33" s="1"/>
      <c r="B33" s="18" t="s">
        <v>49</v>
      </c>
      <c r="C33" s="19" t="s">
        <v>42</v>
      </c>
      <c r="D33" s="31" t="s">
        <v>64</v>
      </c>
      <c r="E33" s="21" t="s">
        <v>50</v>
      </c>
      <c r="F33" s="22" t="s">
        <v>51</v>
      </c>
      <c r="H33" s="18" t="s">
        <v>49</v>
      </c>
      <c r="I33" s="19" t="s">
        <v>42</v>
      </c>
      <c r="J33" s="31" t="n">
        <v>72.27</v>
      </c>
      <c r="K33" s="21" t="s">
        <v>50</v>
      </c>
      <c r="L33" s="22" t="s">
        <v>51</v>
      </c>
      <c r="M33" s="1"/>
    </row>
    <row r="34" customFormat="false" ht="20.25" hidden="false" customHeight="true" outlineLevel="0" collapsed="false">
      <c r="A34" s="1"/>
      <c r="B34" s="23" t="s">
        <v>52</v>
      </c>
      <c r="C34" s="24" t="s">
        <v>42</v>
      </c>
      <c r="D34" s="30" t="n">
        <v>7.9</v>
      </c>
      <c r="E34" s="26" t="s">
        <v>54</v>
      </c>
      <c r="F34" s="27" t="s">
        <v>55</v>
      </c>
      <c r="H34" s="23" t="s">
        <v>52</v>
      </c>
      <c r="I34" s="24" t="s">
        <v>42</v>
      </c>
      <c r="J34" s="30" t="n">
        <v>11.7</v>
      </c>
      <c r="K34" s="26" t="s">
        <v>54</v>
      </c>
      <c r="L34" s="27" t="s">
        <v>55</v>
      </c>
      <c r="M34" s="1"/>
    </row>
    <row r="35" customFormat="false" ht="12.75" hidden="false" customHeight="true" outlineLevel="0" collapsed="false">
      <c r="A35" s="1"/>
      <c r="M35" s="1"/>
    </row>
    <row r="36" customFormat="false" ht="12.75" hidden="false" customHeight="true" outlineLevel="0" collapsed="false">
      <c r="A36" s="1"/>
      <c r="D36" s="5"/>
      <c r="M36" s="1"/>
    </row>
    <row r="37" customFormat="false" ht="13.5" hidden="false" customHeight="true" outlineLevel="0" collapsed="false">
      <c r="A37" s="1"/>
      <c r="B37" s="7" t="s">
        <v>3</v>
      </c>
      <c r="C37" s="7"/>
      <c r="D37" s="8" t="s">
        <v>4</v>
      </c>
      <c r="E37" s="9" t="s">
        <v>5</v>
      </c>
      <c r="F37" s="9" t="s">
        <v>6</v>
      </c>
      <c r="H37" s="7" t="s">
        <v>3</v>
      </c>
      <c r="I37" s="7"/>
      <c r="J37" s="8" t="s">
        <v>4</v>
      </c>
      <c r="K37" s="9" t="s">
        <v>5</v>
      </c>
      <c r="L37" s="9" t="s">
        <v>6</v>
      </c>
      <c r="M37" s="1"/>
    </row>
    <row r="38" customFormat="false" ht="16.5" hidden="false" customHeight="true" outlineLevel="0" collapsed="false">
      <c r="A38" s="1"/>
      <c r="B38" s="10" t="s">
        <v>65</v>
      </c>
      <c r="C38" s="10"/>
      <c r="D38" s="11" t="n">
        <v>0.8476</v>
      </c>
      <c r="E38" s="12" t="n">
        <v>164</v>
      </c>
      <c r="F38" s="13" t="n">
        <v>1.09</v>
      </c>
      <c r="H38" s="10" t="s">
        <v>66</v>
      </c>
      <c r="I38" s="10"/>
      <c r="J38" s="11" t="n">
        <v>0.689</v>
      </c>
      <c r="K38" s="12" t="n">
        <v>164</v>
      </c>
      <c r="L38" s="13" t="n">
        <v>4.17</v>
      </c>
      <c r="M38" s="1"/>
    </row>
    <row r="39" customFormat="false" ht="24.75" hidden="false" customHeight="true" outlineLevel="0" collapsed="false">
      <c r="A39" s="1"/>
      <c r="B39" s="10"/>
      <c r="C39" s="10"/>
      <c r="D39" s="14" t="s">
        <v>67</v>
      </c>
      <c r="E39" s="15" t="s">
        <v>11</v>
      </c>
      <c r="F39" s="15" t="s">
        <v>12</v>
      </c>
      <c r="H39" s="10"/>
      <c r="I39" s="10"/>
      <c r="J39" s="14" t="s">
        <v>68</v>
      </c>
      <c r="K39" s="15" t="s">
        <v>11</v>
      </c>
      <c r="L39" s="15" t="s">
        <v>12</v>
      </c>
      <c r="M39" s="1"/>
    </row>
    <row r="40" customFormat="false" ht="16.5" hidden="false" customHeight="true" outlineLevel="0" collapsed="false">
      <c r="A40" s="1"/>
      <c r="B40" s="16" t="s">
        <v>14</v>
      </c>
      <c r="C40" s="16" t="s">
        <v>15</v>
      </c>
      <c r="D40" s="17" t="s">
        <v>16</v>
      </c>
      <c r="E40" s="17" t="s">
        <v>17</v>
      </c>
      <c r="F40" s="16" t="s">
        <v>18</v>
      </c>
      <c r="H40" s="16" t="s">
        <v>14</v>
      </c>
      <c r="I40" s="16" t="s">
        <v>15</v>
      </c>
      <c r="J40" s="17" t="s">
        <v>16</v>
      </c>
      <c r="K40" s="17" t="s">
        <v>17</v>
      </c>
      <c r="L40" s="16" t="s">
        <v>18</v>
      </c>
      <c r="M40" s="1"/>
    </row>
    <row r="41" customFormat="false" ht="13.5" hidden="false" customHeight="true" outlineLevel="0" collapsed="false">
      <c r="A41" s="1"/>
      <c r="B41" s="18" t="s">
        <v>19</v>
      </c>
      <c r="C41" s="19" t="s">
        <v>20</v>
      </c>
      <c r="D41" s="20" t="n">
        <v>164</v>
      </c>
      <c r="E41" s="21" t="s">
        <v>21</v>
      </c>
      <c r="F41" s="22" t="s">
        <v>22</v>
      </c>
      <c r="H41" s="18" t="s">
        <v>19</v>
      </c>
      <c r="I41" s="19" t="s">
        <v>20</v>
      </c>
      <c r="J41" s="20" t="n">
        <v>164</v>
      </c>
      <c r="K41" s="21" t="s">
        <v>21</v>
      </c>
      <c r="L41" s="22" t="s">
        <v>22</v>
      </c>
      <c r="M41" s="1"/>
    </row>
    <row r="42" customFormat="false" ht="24" hidden="false" customHeight="true" outlineLevel="0" collapsed="false">
      <c r="A42" s="1"/>
      <c r="B42" s="23" t="s">
        <v>23</v>
      </c>
      <c r="C42" s="24" t="s">
        <v>20</v>
      </c>
      <c r="D42" s="25" t="n">
        <v>0.8476</v>
      </c>
      <c r="E42" s="26" t="s">
        <v>69</v>
      </c>
      <c r="F42" s="27" t="s">
        <v>25</v>
      </c>
      <c r="H42" s="23" t="s">
        <v>23</v>
      </c>
      <c r="I42" s="24" t="s">
        <v>20</v>
      </c>
      <c r="J42" s="25" t="n">
        <v>0.689</v>
      </c>
      <c r="K42" s="26" t="s">
        <v>70</v>
      </c>
      <c r="L42" s="27" t="s">
        <v>25</v>
      </c>
      <c r="M42" s="1"/>
    </row>
    <row r="43" customFormat="false" ht="19.5" hidden="false" customHeight="true" outlineLevel="0" collapsed="false">
      <c r="A43" s="1"/>
      <c r="B43" s="18" t="s">
        <v>27</v>
      </c>
      <c r="C43" s="19" t="s">
        <v>20</v>
      </c>
      <c r="D43" s="28" t="n">
        <v>0.1524</v>
      </c>
      <c r="E43" s="21" t="s">
        <v>71</v>
      </c>
      <c r="F43" s="22" t="s">
        <v>29</v>
      </c>
      <c r="H43" s="18" t="s">
        <v>27</v>
      </c>
      <c r="I43" s="19" t="s">
        <v>20</v>
      </c>
      <c r="J43" s="28" t="n">
        <v>0.311</v>
      </c>
      <c r="K43" s="21" t="s">
        <v>72</v>
      </c>
      <c r="L43" s="22" t="s">
        <v>29</v>
      </c>
      <c r="M43" s="1"/>
    </row>
    <row r="44" customFormat="false" ht="19.5" hidden="false" customHeight="true" outlineLevel="0" collapsed="false">
      <c r="A44" s="1"/>
      <c r="B44" s="23" t="s">
        <v>31</v>
      </c>
      <c r="C44" s="24" t="s">
        <v>32</v>
      </c>
      <c r="D44" s="29" t="n">
        <v>1.09</v>
      </c>
      <c r="E44" s="26" t="s">
        <v>33</v>
      </c>
      <c r="F44" s="27" t="s">
        <v>34</v>
      </c>
      <c r="H44" s="23" t="s">
        <v>31</v>
      </c>
      <c r="I44" s="24" t="s">
        <v>32</v>
      </c>
      <c r="J44" s="29" t="n">
        <v>4.17</v>
      </c>
      <c r="K44" s="26" t="s">
        <v>33</v>
      </c>
      <c r="L44" s="27" t="s">
        <v>34</v>
      </c>
      <c r="M44" s="1"/>
    </row>
    <row r="45" customFormat="false" ht="19.5" hidden="false" customHeight="true" outlineLevel="0" collapsed="false">
      <c r="A45" s="1"/>
      <c r="B45" s="18" t="s">
        <v>35</v>
      </c>
      <c r="C45" s="19" t="s">
        <v>32</v>
      </c>
      <c r="D45" s="20" t="n">
        <v>109808</v>
      </c>
      <c r="E45" s="21" t="s">
        <v>36</v>
      </c>
      <c r="F45" s="22" t="s">
        <v>37</v>
      </c>
      <c r="H45" s="18" t="s">
        <v>35</v>
      </c>
      <c r="I45" s="19" t="s">
        <v>32</v>
      </c>
      <c r="J45" s="20" t="n">
        <v>66824</v>
      </c>
      <c r="K45" s="21" t="s">
        <v>36</v>
      </c>
      <c r="L45" s="22" t="s">
        <v>37</v>
      </c>
      <c r="M45" s="1"/>
    </row>
    <row r="46" customFormat="false" ht="19.5" hidden="false" customHeight="true" outlineLevel="0" collapsed="false">
      <c r="A46" s="1"/>
      <c r="B46" s="23" t="s">
        <v>38</v>
      </c>
      <c r="C46" s="24" t="s">
        <v>32</v>
      </c>
      <c r="D46" s="30" t="n">
        <v>669.6</v>
      </c>
      <c r="E46" s="26" t="s">
        <v>39</v>
      </c>
      <c r="F46" s="27" t="s">
        <v>40</v>
      </c>
      <c r="H46" s="23" t="s">
        <v>38</v>
      </c>
      <c r="I46" s="24" t="s">
        <v>32</v>
      </c>
      <c r="J46" s="30" t="n">
        <v>228.2</v>
      </c>
      <c r="K46" s="26" t="s">
        <v>39</v>
      </c>
      <c r="L46" s="27" t="s">
        <v>40</v>
      </c>
      <c r="M46" s="1"/>
    </row>
    <row r="47" customFormat="false" ht="19.5" hidden="false" customHeight="true" outlineLevel="0" collapsed="false">
      <c r="A47" s="1"/>
      <c r="B47" s="18" t="s">
        <v>41</v>
      </c>
      <c r="C47" s="19" t="s">
        <v>42</v>
      </c>
      <c r="D47" s="31" t="n">
        <v>3.65</v>
      </c>
      <c r="E47" s="21" t="s">
        <v>43</v>
      </c>
      <c r="F47" s="22" t="s">
        <v>44</v>
      </c>
      <c r="H47" s="18" t="s">
        <v>41</v>
      </c>
      <c r="I47" s="19" t="s">
        <v>42</v>
      </c>
      <c r="J47" s="31" t="n">
        <v>4.04</v>
      </c>
      <c r="K47" s="21" t="s">
        <v>43</v>
      </c>
      <c r="L47" s="22" t="s">
        <v>44</v>
      </c>
      <c r="M47" s="1"/>
    </row>
    <row r="48" customFormat="false" ht="19.5" hidden="false" customHeight="true" outlineLevel="0" collapsed="false">
      <c r="A48" s="1"/>
      <c r="B48" s="23" t="s">
        <v>45</v>
      </c>
      <c r="C48" s="24" t="s">
        <v>42</v>
      </c>
      <c r="D48" s="32" t="n">
        <v>77.88</v>
      </c>
      <c r="E48" s="26" t="s">
        <v>47</v>
      </c>
      <c r="F48" s="27" t="s">
        <v>48</v>
      </c>
      <c r="H48" s="23" t="s">
        <v>45</v>
      </c>
      <c r="I48" s="24" t="s">
        <v>42</v>
      </c>
      <c r="J48" s="32" t="n">
        <v>87.5</v>
      </c>
      <c r="K48" s="26" t="s">
        <v>47</v>
      </c>
      <c r="L48" s="27" t="s">
        <v>48</v>
      </c>
      <c r="M48" s="1"/>
    </row>
    <row r="49" customFormat="false" ht="19.5" hidden="false" customHeight="true" outlineLevel="0" collapsed="false">
      <c r="A49" s="1"/>
      <c r="B49" s="18" t="s">
        <v>49</v>
      </c>
      <c r="C49" s="19" t="s">
        <v>42</v>
      </c>
      <c r="D49" s="31" t="n">
        <v>50.53</v>
      </c>
      <c r="E49" s="21" t="s">
        <v>50</v>
      </c>
      <c r="F49" s="22" t="s">
        <v>51</v>
      </c>
      <c r="H49" s="18" t="s">
        <v>49</v>
      </c>
      <c r="I49" s="19" t="s">
        <v>42</v>
      </c>
      <c r="J49" s="31" t="n">
        <v>56.19</v>
      </c>
      <c r="K49" s="21" t="s">
        <v>50</v>
      </c>
      <c r="L49" s="22" t="s">
        <v>51</v>
      </c>
      <c r="M49" s="1"/>
    </row>
    <row r="50" customFormat="false" ht="19.5" hidden="false" customHeight="true" outlineLevel="0" collapsed="false">
      <c r="A50" s="1"/>
      <c r="B50" s="23" t="s">
        <v>52</v>
      </c>
      <c r="C50" s="24" t="s">
        <v>42</v>
      </c>
      <c r="D50" s="30" t="n">
        <v>8</v>
      </c>
      <c r="E50" s="26" t="s">
        <v>54</v>
      </c>
      <c r="F50" s="27" t="s">
        <v>55</v>
      </c>
      <c r="H50" s="23" t="s">
        <v>52</v>
      </c>
      <c r="I50" s="24" t="s">
        <v>42</v>
      </c>
      <c r="J50" s="30" t="n">
        <v>9.7</v>
      </c>
      <c r="K50" s="26" t="s">
        <v>54</v>
      </c>
      <c r="L50" s="27" t="s">
        <v>55</v>
      </c>
      <c r="M50" s="1"/>
    </row>
    <row r="51" customFormat="false" ht="12.75" hidden="false" customHeight="true" outlineLevel="0" collapsed="false">
      <c r="A51" s="1"/>
      <c r="M51" s="1"/>
    </row>
    <row r="52" customFormat="false" ht="12" hidden="false" customHeight="true" outlineLevel="0" collapsed="false">
      <c r="A52" s="1"/>
      <c r="M52" s="1"/>
    </row>
    <row r="53" customFormat="false" ht="13.5" hidden="false" customHeight="true" outlineLevel="0" collapsed="false">
      <c r="A53" s="1"/>
      <c r="B53" s="7" t="s">
        <v>3</v>
      </c>
      <c r="C53" s="7"/>
      <c r="D53" s="8" t="s">
        <v>4</v>
      </c>
      <c r="E53" s="9" t="s">
        <v>5</v>
      </c>
      <c r="F53" s="9" t="s">
        <v>6</v>
      </c>
      <c r="H53" s="7" t="s">
        <v>3</v>
      </c>
      <c r="I53" s="7"/>
      <c r="J53" s="8" t="s">
        <v>4</v>
      </c>
      <c r="K53" s="9" t="s">
        <v>5</v>
      </c>
      <c r="L53" s="9" t="s">
        <v>6</v>
      </c>
      <c r="M53" s="1"/>
    </row>
    <row r="54" customFormat="false" ht="17.25" hidden="false" customHeight="true" outlineLevel="0" collapsed="false">
      <c r="A54" s="1"/>
      <c r="B54" s="10" t="s">
        <v>73</v>
      </c>
      <c r="C54" s="10"/>
      <c r="D54" s="11" t="n">
        <v>0.8171</v>
      </c>
      <c r="E54" s="12" t="n">
        <v>164</v>
      </c>
      <c r="F54" s="13" t="n">
        <v>20.5</v>
      </c>
      <c r="H54" s="10" t="s">
        <v>74</v>
      </c>
      <c r="I54" s="10"/>
      <c r="J54" s="11" t="n">
        <v>0.689</v>
      </c>
      <c r="K54" s="12" t="n">
        <v>164</v>
      </c>
      <c r="L54" s="13" t="n">
        <v>6.63</v>
      </c>
      <c r="M54" s="1"/>
    </row>
    <row r="55" customFormat="false" ht="15" hidden="false" customHeight="true" outlineLevel="0" collapsed="false">
      <c r="A55" s="1"/>
      <c r="B55" s="10"/>
      <c r="C55" s="10"/>
      <c r="D55" s="14" t="s">
        <v>10</v>
      </c>
      <c r="E55" s="15" t="s">
        <v>11</v>
      </c>
      <c r="F55" s="15" t="s">
        <v>75</v>
      </c>
      <c r="H55" s="10"/>
      <c r="I55" s="10"/>
      <c r="J55" s="14" t="s">
        <v>68</v>
      </c>
      <c r="K55" s="15" t="s">
        <v>11</v>
      </c>
      <c r="L55" s="15" t="s">
        <v>12</v>
      </c>
      <c r="M55" s="1"/>
    </row>
    <row r="56" customFormat="false" ht="15" hidden="false" customHeight="true" outlineLevel="0" collapsed="false">
      <c r="A56" s="1"/>
      <c r="B56" s="16" t="s">
        <v>14</v>
      </c>
      <c r="C56" s="16" t="s">
        <v>15</v>
      </c>
      <c r="D56" s="17" t="s">
        <v>16</v>
      </c>
      <c r="E56" s="17" t="s">
        <v>17</v>
      </c>
      <c r="F56" s="16" t="s">
        <v>18</v>
      </c>
      <c r="H56" s="16" t="s">
        <v>14</v>
      </c>
      <c r="I56" s="16" t="s">
        <v>15</v>
      </c>
      <c r="J56" s="17" t="s">
        <v>16</v>
      </c>
      <c r="K56" s="17" t="s">
        <v>17</v>
      </c>
      <c r="L56" s="16" t="s">
        <v>18</v>
      </c>
      <c r="M56" s="1"/>
    </row>
    <row r="57" customFormat="false" ht="15" hidden="false" customHeight="true" outlineLevel="0" collapsed="false">
      <c r="A57" s="1"/>
      <c r="B57" s="18" t="s">
        <v>19</v>
      </c>
      <c r="C57" s="19" t="s">
        <v>20</v>
      </c>
      <c r="D57" s="20" t="n">
        <v>164</v>
      </c>
      <c r="E57" s="21" t="s">
        <v>21</v>
      </c>
      <c r="F57" s="22" t="s">
        <v>22</v>
      </c>
      <c r="H57" s="18" t="s">
        <v>19</v>
      </c>
      <c r="I57" s="19" t="s">
        <v>20</v>
      </c>
      <c r="J57" s="20" t="n">
        <v>164</v>
      </c>
      <c r="K57" s="21" t="s">
        <v>21</v>
      </c>
      <c r="L57" s="22" t="s">
        <v>22</v>
      </c>
      <c r="M57" s="1"/>
    </row>
    <row r="58" customFormat="false" ht="15" hidden="false" customHeight="true" outlineLevel="0" collapsed="false">
      <c r="A58" s="1"/>
      <c r="B58" s="23" t="s">
        <v>23</v>
      </c>
      <c r="C58" s="24" t="s">
        <v>20</v>
      </c>
      <c r="D58" s="25" t="n">
        <v>0.8171</v>
      </c>
      <c r="E58" s="26" t="s">
        <v>76</v>
      </c>
      <c r="F58" s="27" t="s">
        <v>25</v>
      </c>
      <c r="H58" s="23" t="s">
        <v>23</v>
      </c>
      <c r="I58" s="24" t="s">
        <v>20</v>
      </c>
      <c r="J58" s="25" t="n">
        <v>0.689</v>
      </c>
      <c r="K58" s="26" t="s">
        <v>70</v>
      </c>
      <c r="L58" s="27" t="s">
        <v>25</v>
      </c>
      <c r="M58" s="1"/>
    </row>
    <row r="59" customFormat="false" ht="15" hidden="false" customHeight="true" outlineLevel="0" collapsed="false">
      <c r="A59" s="1"/>
      <c r="B59" s="18" t="s">
        <v>27</v>
      </c>
      <c r="C59" s="19" t="s">
        <v>20</v>
      </c>
      <c r="D59" s="28" t="n">
        <v>0.1829</v>
      </c>
      <c r="E59" s="21" t="s">
        <v>77</v>
      </c>
      <c r="F59" s="22" t="s">
        <v>29</v>
      </c>
      <c r="H59" s="18" t="s">
        <v>27</v>
      </c>
      <c r="I59" s="19" t="s">
        <v>20</v>
      </c>
      <c r="J59" s="28" t="n">
        <v>0.311</v>
      </c>
      <c r="K59" s="21" t="s">
        <v>72</v>
      </c>
      <c r="L59" s="22" t="s">
        <v>29</v>
      </c>
      <c r="M59" s="1"/>
    </row>
    <row r="60" customFormat="false" ht="15" hidden="false" customHeight="true" outlineLevel="0" collapsed="false">
      <c r="A60" s="1"/>
      <c r="B60" s="23" t="s">
        <v>78</v>
      </c>
      <c r="C60" s="24" t="s">
        <v>32</v>
      </c>
      <c r="D60" s="29" t="n">
        <v>20.5</v>
      </c>
      <c r="E60" s="26" t="s">
        <v>33</v>
      </c>
      <c r="F60" s="27" t="s">
        <v>34</v>
      </c>
      <c r="H60" s="23" t="s">
        <v>78</v>
      </c>
      <c r="I60" s="24" t="s">
        <v>32</v>
      </c>
      <c r="J60" s="29" t="n">
        <v>6.63</v>
      </c>
      <c r="K60" s="26" t="s">
        <v>33</v>
      </c>
      <c r="L60" s="27" t="s">
        <v>34</v>
      </c>
      <c r="M60" s="1"/>
    </row>
    <row r="61" customFormat="false" ht="15" hidden="false" customHeight="true" outlineLevel="0" collapsed="false">
      <c r="A61" s="1"/>
      <c r="B61" s="18" t="s">
        <v>79</v>
      </c>
      <c r="C61" s="19" t="s">
        <v>32</v>
      </c>
      <c r="D61" s="20" t="n">
        <v>96995</v>
      </c>
      <c r="E61" s="21" t="s">
        <v>36</v>
      </c>
      <c r="F61" s="22" t="s">
        <v>37</v>
      </c>
      <c r="H61" s="18" t="s">
        <v>79</v>
      </c>
      <c r="I61" s="19" t="s">
        <v>32</v>
      </c>
      <c r="J61" s="20" t="n">
        <v>79884</v>
      </c>
      <c r="K61" s="21" t="s">
        <v>36</v>
      </c>
      <c r="L61" s="22" t="s">
        <v>37</v>
      </c>
      <c r="M61" s="1"/>
    </row>
    <row r="62" customFormat="false" ht="15" hidden="false" customHeight="true" outlineLevel="0" collapsed="false">
      <c r="A62" s="1"/>
      <c r="B62" s="23" t="s">
        <v>80</v>
      </c>
      <c r="C62" s="24" t="s">
        <v>32</v>
      </c>
      <c r="D62" s="30" t="n">
        <v>591.4</v>
      </c>
      <c r="E62" s="26" t="s">
        <v>36</v>
      </c>
      <c r="F62" s="27" t="s">
        <v>81</v>
      </c>
      <c r="H62" s="23" t="s">
        <v>80</v>
      </c>
      <c r="I62" s="24" t="s">
        <v>32</v>
      </c>
      <c r="J62" s="30" t="n">
        <v>325.7</v>
      </c>
      <c r="K62" s="26" t="s">
        <v>36</v>
      </c>
      <c r="L62" s="27" t="s">
        <v>81</v>
      </c>
      <c r="M62" s="1"/>
    </row>
    <row r="63" customFormat="false" ht="15" hidden="false" customHeight="true" outlineLevel="0" collapsed="false">
      <c r="A63" s="1"/>
      <c r="B63" s="18" t="s">
        <v>41</v>
      </c>
      <c r="C63" s="19" t="s">
        <v>42</v>
      </c>
      <c r="D63" s="31" t="n">
        <v>2.89</v>
      </c>
      <c r="E63" s="21" t="s">
        <v>43</v>
      </c>
      <c r="F63" s="22" t="s">
        <v>44</v>
      </c>
      <c r="H63" s="18" t="s">
        <v>41</v>
      </c>
      <c r="I63" s="19" t="s">
        <v>42</v>
      </c>
      <c r="J63" s="31" t="n">
        <v>3.41</v>
      </c>
      <c r="K63" s="21" t="s">
        <v>43</v>
      </c>
      <c r="L63" s="22" t="s">
        <v>44</v>
      </c>
      <c r="M63" s="1"/>
    </row>
    <row r="64" customFormat="false" ht="15" hidden="false" customHeight="true" outlineLevel="0" collapsed="false">
      <c r="A64" s="1"/>
      <c r="B64" s="23" t="s">
        <v>45</v>
      </c>
      <c r="C64" s="24" t="s">
        <v>42</v>
      </c>
      <c r="D64" s="32" t="n">
        <v>70.38</v>
      </c>
      <c r="E64" s="26" t="s">
        <v>47</v>
      </c>
      <c r="F64" s="27" t="s">
        <v>48</v>
      </c>
      <c r="H64" s="23" t="s">
        <v>45</v>
      </c>
      <c r="I64" s="24" t="s">
        <v>42</v>
      </c>
      <c r="J64" s="32" t="n">
        <v>80.39</v>
      </c>
      <c r="K64" s="26" t="s">
        <v>47</v>
      </c>
      <c r="L64" s="27" t="s">
        <v>48</v>
      </c>
      <c r="M64" s="1"/>
    </row>
    <row r="65" customFormat="false" ht="15" hidden="false" customHeight="true" outlineLevel="0" collapsed="false">
      <c r="A65" s="1"/>
      <c r="B65" s="18" t="s">
        <v>49</v>
      </c>
      <c r="C65" s="19" t="s">
        <v>42</v>
      </c>
      <c r="D65" s="31" t="n">
        <v>38.53</v>
      </c>
      <c r="E65" s="21" t="s">
        <v>50</v>
      </c>
      <c r="F65" s="22" t="s">
        <v>51</v>
      </c>
      <c r="H65" s="18" t="s">
        <v>49</v>
      </c>
      <c r="I65" s="19" t="s">
        <v>42</v>
      </c>
      <c r="J65" s="31" t="n">
        <v>48.81</v>
      </c>
      <c r="K65" s="21" t="s">
        <v>50</v>
      </c>
      <c r="L65" s="22" t="s">
        <v>51</v>
      </c>
      <c r="M65" s="1"/>
    </row>
    <row r="66" customFormat="false" ht="15" hidden="false" customHeight="true" outlineLevel="0" collapsed="false">
      <c r="A66" s="1"/>
      <c r="B66" s="18" t="s">
        <v>52</v>
      </c>
      <c r="C66" s="19" t="s">
        <v>42</v>
      </c>
      <c r="D66" s="33" t="n">
        <v>5.8</v>
      </c>
      <c r="E66" s="21" t="s">
        <v>54</v>
      </c>
      <c r="F66" s="22" t="s">
        <v>55</v>
      </c>
      <c r="H66" s="18" t="s">
        <v>52</v>
      </c>
      <c r="I66" s="19" t="s">
        <v>42</v>
      </c>
      <c r="J66" s="33" t="n">
        <v>10.4</v>
      </c>
      <c r="K66" s="21" t="s">
        <v>54</v>
      </c>
      <c r="L66" s="22" t="s">
        <v>55</v>
      </c>
      <c r="M66" s="1"/>
    </row>
    <row r="67" customFormat="false" ht="15" hidden="false" customHeight="true" outlineLevel="0" collapsed="false">
      <c r="A67" s="1"/>
      <c r="B67" s="1"/>
      <c r="C67" s="1"/>
      <c r="D67" s="1"/>
      <c r="E67" s="1"/>
      <c r="F67" s="1"/>
      <c r="H67" s="1"/>
      <c r="I67" s="1"/>
      <c r="J67" s="1"/>
      <c r="K67" s="1"/>
      <c r="L67" s="1"/>
      <c r="M67" s="1"/>
    </row>
    <row r="68" customFormat="false" ht="15" hidden="false" customHeight="true" outlineLevel="0" collapsed="false"/>
    <row r="69" customFormat="false" ht="15" hidden="false" customHeight="true" outlineLevel="0" collapsed="false">
      <c r="A69" s="34"/>
    </row>
    <row r="70" customFormat="false" ht="15" hidden="false" customHeight="true" outlineLevel="0" collapsed="false">
      <c r="A70" s="34"/>
    </row>
  </sheetData>
  <mergeCells count="16">
    <mergeCell ref="B5:C5"/>
    <mergeCell ref="H5:I5"/>
    <mergeCell ref="B6:C7"/>
    <mergeCell ref="H6:I7"/>
    <mergeCell ref="B21:C21"/>
    <mergeCell ref="H21:I21"/>
    <mergeCell ref="B22:C23"/>
    <mergeCell ref="H22:I23"/>
    <mergeCell ref="B37:C37"/>
    <mergeCell ref="H37:I37"/>
    <mergeCell ref="B38:C39"/>
    <mergeCell ref="H38:I39"/>
    <mergeCell ref="B53:C53"/>
    <mergeCell ref="H53:I53"/>
    <mergeCell ref="B54:C55"/>
    <mergeCell ref="H54:I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25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A1" activeCellId="0" sqref="A1"/>
    </sheetView>
  </sheetViews>
  <sheetFormatPr defaultColWidth="8.570312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44"/>
    <col collapsed="false" customWidth="true" hidden="false" outlineLevel="0" max="7" min="7" style="0" width="3"/>
  </cols>
  <sheetData>
    <row r="1" customFormat="false" ht="9.75" hidden="false" customHeight="true" outlineLevel="0" collapsed="false"/>
    <row r="2" customFormat="false" ht="24" hidden="false" customHeight="true" outlineLevel="0" collapsed="false">
      <c r="B2" s="35" t="s">
        <v>82</v>
      </c>
    </row>
    <row r="3" customFormat="false" ht="18" hidden="false" customHeight="true" outlineLevel="0" collapsed="false">
      <c r="B3" s="36" t="s">
        <v>83</v>
      </c>
    </row>
    <row r="4" customFormat="false" ht="12" hidden="false" customHeight="true" outlineLevel="0" collapsed="false"/>
    <row r="5" customFormat="false" ht="21.75" hidden="false" customHeight="true" outlineLevel="0" collapsed="false">
      <c r="B5" s="37" t="s">
        <v>84</v>
      </c>
      <c r="C5" s="37"/>
      <c r="D5" s="37"/>
      <c r="E5" s="37"/>
      <c r="F5" s="37"/>
    </row>
    <row r="6" customFormat="false" ht="19.5" hidden="false" customHeight="true" outlineLevel="0" collapsed="false">
      <c r="B6" s="38" t="s">
        <v>85</v>
      </c>
      <c r="C6" s="39" t="s">
        <v>16</v>
      </c>
      <c r="D6" s="39" t="s">
        <v>86</v>
      </c>
      <c r="E6" s="39" t="s">
        <v>17</v>
      </c>
      <c r="F6" s="38" t="s">
        <v>18</v>
      </c>
    </row>
    <row r="7" customFormat="false" ht="19.5" hidden="false" customHeight="true" outlineLevel="0" collapsed="false">
      <c r="B7" s="40" t="s">
        <v>87</v>
      </c>
      <c r="C7" s="41" t="n">
        <v>125</v>
      </c>
      <c r="D7" s="42" t="s">
        <v>88</v>
      </c>
      <c r="E7" s="42" t="s">
        <v>21</v>
      </c>
      <c r="F7" s="43" t="s">
        <v>89</v>
      </c>
    </row>
    <row r="8" customFormat="false" ht="19.5" hidden="false" customHeight="true" outlineLevel="0" collapsed="false">
      <c r="B8" s="44" t="s">
        <v>90</v>
      </c>
      <c r="C8" s="45" t="n">
        <v>39</v>
      </c>
      <c r="D8" s="46" t="s">
        <v>88</v>
      </c>
      <c r="E8" s="46" t="s">
        <v>21</v>
      </c>
      <c r="F8" s="47" t="s">
        <v>91</v>
      </c>
    </row>
    <row r="9" customFormat="false" ht="19.5" hidden="false" customHeight="true" outlineLevel="0" collapsed="false">
      <c r="B9" s="40" t="s">
        <v>19</v>
      </c>
      <c r="C9" s="41" t="n">
        <f aca="false">C7+C8</f>
        <v>164</v>
      </c>
      <c r="D9" s="42" t="s">
        <v>88</v>
      </c>
      <c r="E9" s="42" t="s">
        <v>21</v>
      </c>
      <c r="F9" s="43" t="s">
        <v>92</v>
      </c>
    </row>
    <row r="10" customFormat="false" ht="19.5" hidden="false" customHeight="true" outlineLevel="0" collapsed="false">
      <c r="B10" s="44" t="s">
        <v>93</v>
      </c>
      <c r="C10" s="48" t="n">
        <f aca="false">C7/C9</f>
        <v>0.76219512195122</v>
      </c>
      <c r="D10" s="46" t="s">
        <v>94</v>
      </c>
      <c r="E10" s="46" t="s">
        <v>95</v>
      </c>
      <c r="F10" s="47" t="s">
        <v>96</v>
      </c>
    </row>
    <row r="11" customFormat="false" ht="19.5" hidden="false" customHeight="true" outlineLevel="0" collapsed="false">
      <c r="B11" s="40" t="s">
        <v>27</v>
      </c>
      <c r="C11" s="49" t="n">
        <f aca="false">C8/C9</f>
        <v>0.23780487804878</v>
      </c>
      <c r="D11" s="42" t="s">
        <v>94</v>
      </c>
      <c r="E11" s="42" t="s">
        <v>95</v>
      </c>
      <c r="F11" s="43" t="s">
        <v>97</v>
      </c>
    </row>
    <row r="12" customFormat="false" ht="12" hidden="false" customHeight="true" outlineLevel="0" collapsed="false"/>
    <row r="13" customFormat="false" ht="12" hidden="false" customHeight="true" outlineLevel="0" collapsed="false"/>
    <row r="14" customFormat="false" ht="21.75" hidden="false" customHeight="true" outlineLevel="0" collapsed="false">
      <c r="B14" s="37" t="s">
        <v>98</v>
      </c>
      <c r="C14" s="37"/>
      <c r="D14" s="37"/>
      <c r="E14" s="37"/>
      <c r="F14" s="37"/>
    </row>
    <row r="15" customFormat="false" ht="19.5" hidden="false" customHeight="true" outlineLevel="0" collapsed="false">
      <c r="B15" s="38" t="s">
        <v>85</v>
      </c>
      <c r="C15" s="39" t="s">
        <v>16</v>
      </c>
      <c r="D15" s="39" t="s">
        <v>86</v>
      </c>
      <c r="E15" s="39" t="s">
        <v>17</v>
      </c>
      <c r="F15" s="38" t="s">
        <v>18</v>
      </c>
    </row>
    <row r="16" customFormat="false" ht="19.5" hidden="false" customHeight="true" outlineLevel="0" collapsed="false">
      <c r="B16" s="44" t="s">
        <v>31</v>
      </c>
      <c r="C16" s="50" t="n">
        <v>1.4</v>
      </c>
      <c r="D16" s="46" t="s">
        <v>99</v>
      </c>
      <c r="E16" s="46" t="s">
        <v>33</v>
      </c>
      <c r="F16" s="47" t="s">
        <v>100</v>
      </c>
    </row>
    <row r="17" customFormat="false" ht="19.5" hidden="false" customHeight="true" outlineLevel="0" collapsed="false">
      <c r="B17" s="40" t="s">
        <v>35</v>
      </c>
      <c r="C17" s="41" t="n">
        <v>46208</v>
      </c>
      <c r="D17" s="42" t="s">
        <v>88</v>
      </c>
      <c r="E17" s="42" t="s">
        <v>36</v>
      </c>
      <c r="F17" s="43" t="s">
        <v>101</v>
      </c>
    </row>
    <row r="18" customFormat="false" ht="19.5" hidden="false" customHeight="true" outlineLevel="0" collapsed="false">
      <c r="B18" s="44" t="s">
        <v>38</v>
      </c>
      <c r="C18" s="51" t="n">
        <v>65.6</v>
      </c>
      <c r="D18" s="46" t="s">
        <v>102</v>
      </c>
      <c r="E18" s="46" t="s">
        <v>39</v>
      </c>
      <c r="F18" s="47" t="s">
        <v>103</v>
      </c>
    </row>
    <row r="19" customFormat="false" ht="12" hidden="false" customHeight="true" outlineLevel="0" collapsed="false"/>
    <row r="20" customFormat="false" ht="21.75" hidden="false" customHeight="true" outlineLevel="0" collapsed="false">
      <c r="B20" s="37" t="s">
        <v>104</v>
      </c>
      <c r="C20" s="37"/>
      <c r="D20" s="37"/>
      <c r="E20" s="37"/>
      <c r="F20" s="37"/>
    </row>
    <row r="21" customFormat="false" ht="19.5" hidden="false" customHeight="true" outlineLevel="0" collapsed="false">
      <c r="B21" s="38" t="s">
        <v>85</v>
      </c>
      <c r="C21" s="39" t="s">
        <v>16</v>
      </c>
      <c r="D21" s="39" t="s">
        <v>86</v>
      </c>
      <c r="E21" s="39" t="s">
        <v>17</v>
      </c>
      <c r="F21" s="38" t="s">
        <v>18</v>
      </c>
    </row>
    <row r="22" customFormat="false" ht="19.5" hidden="false" customHeight="true" outlineLevel="0" collapsed="false">
      <c r="B22" s="44" t="s">
        <v>41</v>
      </c>
      <c r="C22" s="52" t="n">
        <v>2.91</v>
      </c>
      <c r="D22" s="46" t="s">
        <v>105</v>
      </c>
      <c r="E22" s="46" t="s">
        <v>43</v>
      </c>
      <c r="F22" s="47" t="s">
        <v>106</v>
      </c>
    </row>
    <row r="23" customFormat="false" ht="19.5" hidden="false" customHeight="true" outlineLevel="0" collapsed="false">
      <c r="B23" s="40" t="s">
        <v>45</v>
      </c>
      <c r="C23" s="53" t="n">
        <v>60.98</v>
      </c>
      <c r="D23" s="42" t="s">
        <v>105</v>
      </c>
      <c r="E23" s="42" t="s">
        <v>47</v>
      </c>
      <c r="F23" s="43" t="s">
        <v>107</v>
      </c>
    </row>
    <row r="24" customFormat="false" ht="19.5" hidden="false" customHeight="true" outlineLevel="0" collapsed="false">
      <c r="B24" s="44" t="s">
        <v>49</v>
      </c>
      <c r="C24" s="52" t="n">
        <v>34.35</v>
      </c>
      <c r="D24" s="46" t="s">
        <v>105</v>
      </c>
      <c r="E24" s="46" t="s">
        <v>50</v>
      </c>
      <c r="F24" s="47" t="s">
        <v>108</v>
      </c>
    </row>
    <row r="25" customFormat="false" ht="19.5" hidden="false" customHeight="true" outlineLevel="0" collapsed="false">
      <c r="B25" s="40" t="s">
        <v>52</v>
      </c>
      <c r="C25" s="54" t="n">
        <v>5</v>
      </c>
      <c r="D25" s="42" t="s">
        <v>102</v>
      </c>
      <c r="E25" s="42" t="s">
        <v>54</v>
      </c>
      <c r="F25" s="43" t="s">
        <v>109</v>
      </c>
    </row>
  </sheetData>
  <mergeCells count="3">
    <mergeCell ref="B5:F5"/>
    <mergeCell ref="B14:F14"/>
    <mergeCell ref="B20:F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2026-10-03T18:06:22Z</dcterms:created>
  <dc:creator>openpyxl</dc:creator>
  <dc:description/>
  <dc:language>pt-BR</dc:language>
  <cp:lastModifiedBy/>
  <dcterms:modified xsi:type="dcterms:W3CDTF">2026-10-04T22:07:35Z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