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  <sheet name="Detalhamen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<sst xmlns="http://schemas.openxmlformats.org/spreadsheetml/2006/main" count="302" uniqueCount="112">
  <si>
    <t xml:space="preserve">Resultados do Benchmark (HumanEval) – Zero Shot</t>
  </si>
  <si>
    <t xml:space="preserve">Consolidação de desempenho, eficiência operacional e qualidade de código (Ordenado por Pass@1 decrescente)</t>
  </si>
  <si>
    <t xml:space="preserve">MODELO AVALIADO</t>
  </si>
  <si>
    <t xml:space="preserve">APROVAÇÃO (PASS@1)</t>
  </si>
  <si>
    <t xml:space="preserve">TOTAL DE TAREFAS</t>
  </si>
  <si>
    <t xml:space="preserve">LATÊNCIA MÉDIA</t>
  </si>
  <si>
    <t xml:space="preserve">GLM 5.3 Flash</t>
  </si>
  <si>
    <t xml:space="preserve">28,17s</t>
  </si>
  <si>
    <t xml:space="preserve">156 de 164 tarefas</t>
  </si>
  <si>
    <t xml:space="preserve">Escopo do benchmark</t>
  </si>
  <si>
    <t xml:space="preserve">Por tarefa</t>
  </si>
  <si>
    <t xml:space="preserve">Métrica Avaliada</t>
  </si>
  <si>
    <t xml:space="preserve">Categoria</t>
  </si>
  <si>
    <t xml:space="preserve">Valor</t>
  </si>
  <si>
    <t xml:space="preserve">Unidade</t>
  </si>
  <si>
    <t xml:space="preserve">Observações Técnicas</t>
  </si>
  <si>
    <t xml:space="preserve">Total de Tarefas Avaliadas</t>
  </si>
  <si>
    <t xml:space="preserve">Execução</t>
  </si>
  <si>
    <t xml:space="preserve">tarefas</t>
  </si>
  <si>
    <t xml:space="preserve">Escopo integral analisado</t>
  </si>
  <si>
    <t xml:space="preserve">Soluções Aprovadas (Pass@1)</t>
  </si>
  <si>
    <t xml:space="preserve">156/164</t>
  </si>
  <si>
    <t xml:space="preserve">Acertos diretos de primeira tentativa</t>
  </si>
  <si>
    <t xml:space="preserve">Taxa de Falha</t>
  </si>
  <si>
    <t xml:space="preserve">8/164</t>
  </si>
  <si>
    <t xml:space="preserve">Falhas de asserção / execução</t>
  </si>
  <si>
    <t xml:space="preserve">Latência Média por Tarefa</t>
  </si>
  <si>
    <t xml:space="preserve">Performance</t>
  </si>
  <si>
    <t xml:space="preserve">segundos</t>
  </si>
  <si>
    <t xml:space="preserve">Tempo médio de resposta</t>
  </si>
  <si>
    <t xml:space="preserve">Consumo Total de Tokens</t>
  </si>
  <si>
    <t xml:space="preserve">tokens</t>
  </si>
  <si>
    <t xml:space="preserve">Volume consolidado de tokens</t>
  </si>
  <si>
    <t xml:space="preserve">Consumo Médio de Tokens/Task</t>
  </si>
  <si>
    <t xml:space="preserve">575.5</t>
  </si>
  <si>
    <t xml:space="preserve">Média de tokens por tarefa</t>
  </si>
  <si>
    <t xml:space="preserve">Complexidade Ciclomática Média</t>
  </si>
  <si>
    <t xml:space="preserve">Qualidade de Código</t>
  </si>
  <si>
    <t xml:space="preserve">3.49</t>
  </si>
  <si>
    <t xml:space="preserve">escala CC</t>
  </si>
  <si>
    <t xml:space="preserve">Complexidade baixa (ideal &lt; 10)</t>
  </si>
  <si>
    <t xml:space="preserve">Índice de Manutenibilidade Médio</t>
  </si>
  <si>
    <t xml:space="preserve">80.06</t>
  </si>
  <si>
    <t xml:space="preserve">escala 0-100</t>
  </si>
  <si>
    <t xml:space="preserve">Facilidade de suporte do código</t>
  </si>
  <si>
    <t xml:space="preserve">Volume Halstead Médio</t>
  </si>
  <si>
    <t xml:space="preserve">48.33</t>
  </si>
  <si>
    <t xml:space="preserve">escala Halstead</t>
  </si>
  <si>
    <t xml:space="preserve">Vocabulário e operadores da solução</t>
  </si>
  <si>
    <t xml:space="preserve">SLOC Médio (Linhas de Código)</t>
  </si>
  <si>
    <t xml:space="preserve">7.3</t>
  </si>
  <si>
    <t xml:space="preserve">linhas</t>
  </si>
  <si>
    <t xml:space="preserve">Linhas de código geradas por tarefa</t>
  </si>
  <si>
    <t xml:space="preserve">NEMOTRON 3 ULTRA 550B</t>
  </si>
  <si>
    <t xml:space="preserve">15.06</t>
  </si>
  <si>
    <t xml:space="preserve">134 de 164 tarefas</t>
  </si>
  <si>
    <t xml:space="preserve">Por requisição</t>
  </si>
  <si>
    <t xml:space="preserve">149/164</t>
  </si>
  <si>
    <t xml:space="preserve">15/164</t>
  </si>
  <si>
    <t xml:space="preserve">Latência Média por Requisição</t>
  </si>
  <si>
    <t xml:space="preserve">Total de Tokens Processados</t>
  </si>
  <si>
    <t xml:space="preserve">Tokens Médios de Resposta</t>
  </si>
  <si>
    <t xml:space="preserve">tokens/tarefa</t>
  </si>
  <si>
    <t xml:space="preserve">Média de tokens gerados</t>
  </si>
  <si>
    <t xml:space="preserve">3.76</t>
  </si>
  <si>
    <t xml:space="preserve">82.0</t>
  </si>
  <si>
    <t xml:space="preserve">8.4</t>
  </si>
  <si>
    <t xml:space="preserve">Gemini 3.5 Flash Lite</t>
  </si>
  <si>
    <t xml:space="preserve">145 de 164 tarefas</t>
  </si>
  <si>
    <t xml:space="preserve">145/164</t>
  </si>
  <si>
    <t xml:space="preserve">19/164</t>
  </si>
  <si>
    <t xml:space="preserve">138.7</t>
  </si>
  <si>
    <t xml:space="preserve">3.55</t>
  </si>
  <si>
    <t xml:space="preserve">82.38</t>
  </si>
  <si>
    <t xml:space="preserve">47.39</t>
  </si>
  <si>
    <t xml:space="preserve">7.9</t>
  </si>
  <si>
    <t xml:space="preserve">GPT OSS 120B</t>
  </si>
  <si>
    <t xml:space="preserve">139 de 164 tarefas</t>
  </si>
  <si>
    <t xml:space="preserve">139/164</t>
  </si>
  <si>
    <t xml:space="preserve">25/164</t>
  </si>
  <si>
    <t xml:space="preserve">3.65</t>
  </si>
  <si>
    <t xml:space="preserve">77.88</t>
  </si>
  <si>
    <t xml:space="preserve">50.53</t>
  </si>
  <si>
    <t xml:space="preserve">8.0</t>
  </si>
  <si>
    <t xml:space="preserve">Detalhamento das Métricas de Benchmark</t>
  </si>
  <si>
    <t xml:space="preserve">Modelo Avaliado: Gemini 3.5 Flash Lite</t>
  </si>
  <si>
    <t xml:space="preserve">1. Resolução e Conclusão de Tarefas</t>
  </si>
  <si>
    <t xml:space="preserve">Métrica</t>
  </si>
  <si>
    <t xml:space="preserve">Formato</t>
  </si>
  <si>
    <t xml:space="preserve">Tarefas Aprovadas (Pass@1)</t>
  </si>
  <si>
    <t xml:space="preserve">#,##0</t>
  </si>
  <si>
    <t xml:space="preserve">Soluções aprovadas na primeira tentativa</t>
  </si>
  <si>
    <t xml:space="preserve">Tarefas com Falha</t>
  </si>
  <si>
    <t xml:space="preserve">Soluções que falharam na validação</t>
  </si>
  <si>
    <t xml:space="preserve">Fórmula: Aprovadas + Falhas</t>
  </si>
  <si>
    <t xml:space="preserve">Taxa de Sucesso (Pass@1)</t>
  </si>
  <si>
    <t xml:space="preserve">0.00%</t>
  </si>
  <si>
    <t xml:space="preserve">percentual</t>
  </si>
  <si>
    <t xml:space="preserve">Fórmula: Aprovadas / Total</t>
  </si>
  <si>
    <t xml:space="preserve">Fórmula: Falhas / Total</t>
  </si>
  <si>
    <t xml:space="preserve">2. Performance e Consumo de Tokens</t>
  </si>
  <si>
    <t xml:space="preserve">0.0 "s"</t>
  </si>
  <si>
    <t xml:space="preserve">Tempo de resposta de ponta a ponta</t>
  </si>
  <si>
    <t xml:space="preserve">Consumo total de tokens no teste</t>
  </si>
  <si>
    <t xml:space="preserve">0.0</t>
  </si>
  <si>
    <t xml:space="preserve">Média de tokens de resposta</t>
  </si>
  <si>
    <t xml:space="preserve">3. Qualidade do Código Gerado</t>
  </si>
  <si>
    <t xml:space="preserve">0.00</t>
  </si>
  <si>
    <t xml:space="preserve">Complexidade baixa e código limpo</t>
  </si>
  <si>
    <t xml:space="preserve">Boa facilidade de manutenção</t>
  </si>
  <si>
    <t xml:space="preserve">Baixo esforço de implementação</t>
  </si>
  <si>
    <t xml:space="preserve">Média concisa de linhas de código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</si>
</sst>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"/>
    <numFmt numFmtId="167" formatCode="0.0&quot; s&quot;"/>
    <numFmt numFmtId="168" formatCode="0.0"/>
    <numFmt numFmtId="169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  <font>
      <b val="true"/>
      <sz val="16"/>
      <color rgb="FF0F172A"/>
      <name val="Segoe UI"/>
      <family val="0"/>
      <charset val="1"/>
    </font>
    <font>
      <i val="true"/>
      <sz val="9.5"/>
      <color rgb="FF64748B"/>
      <name val="Segoe UI"/>
      <family val="0"/>
      <charset val="1"/>
    </font>
    <font>
      <b val="true"/>
      <sz val="8.5"/>
      <color rgb="FF1D4ED8"/>
      <name val="Segoe UI"/>
      <family val="0"/>
      <charset val="1"/>
    </font>
    <font>
      <b val="true"/>
      <sz val="7"/>
      <color rgb="FF64748B"/>
      <name val="Segoe UI"/>
      <family val="0"/>
      <charset val="1"/>
    </font>
    <font>
      <b val="true"/>
      <sz val="8.5"/>
      <color rgb="FF64748B"/>
      <name val="Segoe UI"/>
      <family val="0"/>
      <charset val="1"/>
    </font>
    <font>
      <b val="true"/>
      <sz val="14"/>
      <color rgb="FF1D4ED8"/>
      <name val="Segoe UI"/>
      <family val="0"/>
      <charset val="1"/>
    </font>
    <font>
      <b val="true"/>
      <sz val="14"/>
      <color rgb="FF15803D"/>
      <name val="Segoe UI"/>
      <family val="0"/>
      <charset val="1"/>
    </font>
    <font>
      <b val="true"/>
      <sz val="14"/>
      <color rgb="FF0F172A"/>
      <name val="Segoe UI"/>
      <family val="0"/>
      <charset val="1"/>
    </font>
    <font>
      <sz val="8.5"/>
      <color rgb="FF64748B"/>
      <name val="Segoe UI"/>
      <family val="0"/>
      <charset val="1"/>
    </font>
    <font>
      <b val="true"/>
      <sz val="9.5"/>
      <color rgb="FFFFFFFF"/>
      <name val="Segoe UI"/>
      <family val="0"/>
      <charset val="1"/>
    </font>
    <font>
      <b val="true"/>
      <sz val="9.5"/>
      <color rgb="FF0F172A"/>
      <name val="Segoe UI"/>
      <family val="0"/>
      <charset val="1"/>
    </font>
    <font>
      <sz val="9"/>
      <color rgb="FF64748B"/>
      <name val="Segoe UI"/>
      <family val="0"/>
      <charset val="1"/>
    </font>
    <font>
      <b val="true"/>
      <sz val="9.5"/>
      <color rgb="FF15803D"/>
      <name val="Segoe UI"/>
      <family val="0"/>
      <charset val="1"/>
    </font>
    <font>
      <b val="true"/>
      <sz val="9.5"/>
      <color rgb="FFB91C1C"/>
      <name val="Segoe UI"/>
      <family val="0"/>
      <charset val="1"/>
    </font>
    <font>
      <b val="true"/>
      <sz val="15"/>
      <color rgb="FF0F172A"/>
      <name val="Segoe UI"/>
      <family val="0"/>
      <charset val="1"/>
    </font>
    <font>
      <b val="true"/>
      <sz val="10"/>
      <color rgb="FF1D4ED8"/>
      <name val="Segoe UI"/>
      <family val="0"/>
      <charset val="1"/>
    </font>
    <font>
      <b val="true"/>
      <sz val="10.5"/>
      <color rgb="FFFFFFFF"/>
      <name val="Segoe UI"/>
      <family val="0"/>
      <charset val="1"/>
    </font>
    <font>
      <sz val="9.5"/>
      <color rgb="FF0F172A"/>
      <name val="Segoe UI"/>
      <family val="0"/>
      <charset val="1"/>
    </font>
    <font>
      <sz val="9.5"/>
      <color rgb="FF64748B"/>
      <name val="Segoe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F172A"/>
      </patternFill>
    </fill>
    <fill>
      <patternFill patternType="solid">
        <fgColor rgb="FFEFF6FF"/>
        <bgColor rgb="FFF8FAFC"/>
      </patternFill>
    </fill>
    <fill>
      <patternFill patternType="solid">
        <fgColor rgb="FFF0FDF4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1E293B"/>
        <bgColor rgb="FF0F172A"/>
      </patternFill>
    </fill>
    <fill>
      <patternFill patternType="solid">
        <fgColor rgb="FFFFFFFF"/>
        <bgColor rgb="FFF8FAFC"/>
      </patternFill>
    </fill>
    <fill>
      <patternFill patternType="solid">
        <fgColor rgb="FF334155"/>
        <bgColor rgb="FF1E293B"/>
      </patternFill>
    </fill>
    <fill>
      <patternFill patternType="solid">
        <fgColor rgb="FFE2E8F0"/>
        <bgColor rgb="FFEFF6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3B82F6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15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5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7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8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3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3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5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5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5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5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5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5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5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C9211E"/>
      <rgbColor rgb="FFF0FDF4"/>
      <rgbColor rgb="FFEFF6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BFDBFE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B91C1C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true" showOutlineSymbols="true" defaultGridColor="true" view="normal" topLeftCell="A5" colorId="64" zoomScale="75" zoomScaleNormal="75" zoomScalePageLayoutView="100" workbookViewId="0">
      <selection pane="topLeft" activeCell="E27" activeCellId="0" sqref="E2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1.8"/>
    <col collapsed="false" customWidth="true" hidden="false" outlineLevel="0" max="3" min="3" style="1" width="24.72"/>
    <col collapsed="false" customWidth="true" hidden="false" outlineLevel="0" max="4" min="4" style="1" width="19.93"/>
    <col collapsed="false" customWidth="true" hidden="false" outlineLevel="0" max="5" min="5" style="1" width="18"/>
    <col collapsed="false" customWidth="true" hidden="false" outlineLevel="0" max="6" min="6" style="1" width="36"/>
    <col collapsed="false" customWidth="true" hidden="false" outlineLevel="0" max="7" min="7" style="1" width="3.76"/>
  </cols>
  <sheetData>
    <row r="1" customFormat="false" ht="15" hidden="false" customHeight="false" outlineLevel="0" collapsed="false">
      <c r="A1" s="2"/>
      <c r="B1" s="3"/>
      <c r="C1" s="3"/>
      <c r="D1" s="4"/>
      <c r="E1" s="3"/>
      <c r="F1" s="3"/>
    </row>
    <row r="2" customFormat="false" ht="27.75" hidden="false" customHeight="true" outlineLevel="0" collapsed="false">
      <c r="A2" s="2"/>
      <c r="B2" s="5" t="s">
        <v>0</v>
      </c>
      <c r="D2" s="6"/>
    </row>
    <row r="3" customFormat="false" ht="18" hidden="false" customHeight="true" outlineLevel="0" collapsed="false">
      <c r="A3" s="2"/>
      <c r="B3" s="7" t="s">
        <v>1</v>
      </c>
      <c r="D3" s="6"/>
    </row>
    <row r="4" customFormat="false" ht="15" hidden="false" customHeight="false" outlineLevel="0" collapsed="false">
      <c r="A4" s="2"/>
      <c r="B4" s="0"/>
      <c r="C4" s="0"/>
      <c r="D4" s="0"/>
      <c r="E4" s="0"/>
      <c r="F4" s="0"/>
    </row>
    <row r="5" customFormat="false" ht="16.5" hidden="false" customHeight="true" outlineLevel="0" collapsed="false">
      <c r="A5" s="2"/>
      <c r="B5" s="8" t="s">
        <v>2</v>
      </c>
      <c r="C5" s="8"/>
      <c r="D5" s="9" t="s">
        <v>3</v>
      </c>
      <c r="E5" s="10" t="s">
        <v>4</v>
      </c>
      <c r="F5" s="10" t="s">
        <v>5</v>
      </c>
    </row>
    <row r="6" customFormat="false" ht="24.75" hidden="false" customHeight="true" outlineLevel="0" collapsed="false">
      <c r="A6" s="2"/>
      <c r="B6" s="11" t="s">
        <v>6</v>
      </c>
      <c r="C6" s="11"/>
      <c r="D6" s="12" t="n">
        <v>0.9512</v>
      </c>
      <c r="E6" s="13" t="n">
        <v>164</v>
      </c>
      <c r="F6" s="14" t="s">
        <v>7</v>
      </c>
    </row>
    <row r="7" customFormat="false" ht="16.5" hidden="false" customHeight="true" outlineLevel="0" collapsed="false">
      <c r="A7" s="2"/>
      <c r="B7" s="11"/>
      <c r="C7" s="11"/>
      <c r="D7" s="15" t="s">
        <v>8</v>
      </c>
      <c r="E7" s="16" t="s">
        <v>9</v>
      </c>
      <c r="F7" s="16" t="s">
        <v>10</v>
      </c>
    </row>
    <row r="8" customFormat="false" ht="13.5" hidden="false" customHeight="true" outlineLevel="0" collapsed="false">
      <c r="A8" s="2"/>
      <c r="B8" s="17" t="s">
        <v>11</v>
      </c>
      <c r="C8" s="17" t="s">
        <v>12</v>
      </c>
      <c r="D8" s="18" t="s">
        <v>13</v>
      </c>
      <c r="E8" s="18" t="s">
        <v>14</v>
      </c>
      <c r="F8" s="17" t="s">
        <v>15</v>
      </c>
    </row>
    <row r="9" customFormat="false" ht="24" hidden="false" customHeight="true" outlineLevel="0" collapsed="false">
      <c r="A9" s="2"/>
      <c r="B9" s="19" t="s">
        <v>16</v>
      </c>
      <c r="C9" s="20" t="s">
        <v>17</v>
      </c>
      <c r="D9" s="21" t="n">
        <v>164</v>
      </c>
      <c r="E9" s="22" t="s">
        <v>18</v>
      </c>
      <c r="F9" s="23" t="s">
        <v>19</v>
      </c>
    </row>
    <row r="10" customFormat="false" ht="19.5" hidden="false" customHeight="true" outlineLevel="0" collapsed="false">
      <c r="A10" s="2"/>
      <c r="B10" s="24" t="s">
        <v>20</v>
      </c>
      <c r="C10" s="25" t="s">
        <v>17</v>
      </c>
      <c r="D10" s="26" t="n">
        <v>0.9523</v>
      </c>
      <c r="E10" s="27" t="s">
        <v>21</v>
      </c>
      <c r="F10" s="28" t="s">
        <v>22</v>
      </c>
    </row>
    <row r="11" customFormat="false" ht="19.5" hidden="false" customHeight="true" outlineLevel="0" collapsed="false">
      <c r="A11" s="2"/>
      <c r="B11" s="19" t="s">
        <v>23</v>
      </c>
      <c r="C11" s="20" t="s">
        <v>17</v>
      </c>
      <c r="D11" s="29" t="n">
        <v>0.0488</v>
      </c>
      <c r="E11" s="22" t="s">
        <v>24</v>
      </c>
      <c r="F11" s="23" t="s">
        <v>25</v>
      </c>
    </row>
    <row r="12" customFormat="false" ht="19.5" hidden="false" customHeight="true" outlineLevel="0" collapsed="false">
      <c r="A12" s="2"/>
      <c r="B12" s="24" t="s">
        <v>26</v>
      </c>
      <c r="C12" s="25" t="s">
        <v>27</v>
      </c>
      <c r="D12" s="30" t="s">
        <v>7</v>
      </c>
      <c r="E12" s="27" t="s">
        <v>28</v>
      </c>
      <c r="F12" s="28" t="s">
        <v>29</v>
      </c>
    </row>
    <row r="13" customFormat="false" ht="19.5" hidden="false" customHeight="true" outlineLevel="0" collapsed="false">
      <c r="A13" s="2"/>
      <c r="B13" s="19" t="s">
        <v>30</v>
      </c>
      <c r="C13" s="20" t="s">
        <v>27</v>
      </c>
      <c r="D13" s="21" t="n">
        <v>133665</v>
      </c>
      <c r="E13" s="22" t="s">
        <v>31</v>
      </c>
      <c r="F13" s="23" t="s">
        <v>32</v>
      </c>
    </row>
    <row r="14" customFormat="false" ht="19.5" hidden="false" customHeight="true" outlineLevel="0" collapsed="false">
      <c r="A14" s="2"/>
      <c r="B14" s="24" t="s">
        <v>33</v>
      </c>
      <c r="C14" s="25" t="s">
        <v>27</v>
      </c>
      <c r="D14" s="31" t="s">
        <v>34</v>
      </c>
      <c r="E14" s="27" t="s">
        <v>31</v>
      </c>
      <c r="F14" s="28" t="s">
        <v>35</v>
      </c>
    </row>
    <row r="15" customFormat="false" ht="19.5" hidden="false" customHeight="true" outlineLevel="0" collapsed="false">
      <c r="A15" s="2"/>
      <c r="B15" s="19" t="s">
        <v>36</v>
      </c>
      <c r="C15" s="20" t="s">
        <v>37</v>
      </c>
      <c r="D15" s="32" t="s">
        <v>38</v>
      </c>
      <c r="E15" s="22" t="s">
        <v>39</v>
      </c>
      <c r="F15" s="23" t="s">
        <v>40</v>
      </c>
    </row>
    <row r="16" customFormat="false" ht="19.5" hidden="false" customHeight="true" outlineLevel="0" collapsed="false">
      <c r="A16" s="2"/>
      <c r="B16" s="24" t="s">
        <v>41</v>
      </c>
      <c r="C16" s="25" t="s">
        <v>37</v>
      </c>
      <c r="D16" s="33" t="s">
        <v>42</v>
      </c>
      <c r="E16" s="27" t="s">
        <v>43</v>
      </c>
      <c r="F16" s="28" t="s">
        <v>44</v>
      </c>
    </row>
    <row r="17" customFormat="false" ht="19.5" hidden="false" customHeight="true" outlineLevel="0" collapsed="false">
      <c r="A17" s="2"/>
      <c r="B17" s="19" t="s">
        <v>45</v>
      </c>
      <c r="C17" s="20" t="s">
        <v>37</v>
      </c>
      <c r="D17" s="32" t="s">
        <v>46</v>
      </c>
      <c r="E17" s="22" t="s">
        <v>47</v>
      </c>
      <c r="F17" s="23" t="s">
        <v>48</v>
      </c>
    </row>
    <row r="18" customFormat="false" ht="19.5" hidden="false" customHeight="true" outlineLevel="0" collapsed="false">
      <c r="A18" s="2"/>
      <c r="B18" s="19" t="s">
        <v>49</v>
      </c>
      <c r="C18" s="20" t="s">
        <v>37</v>
      </c>
      <c r="D18" s="34" t="s">
        <v>50</v>
      </c>
      <c r="E18" s="22" t="s">
        <v>51</v>
      </c>
      <c r="F18" s="23" t="s">
        <v>52</v>
      </c>
    </row>
    <row r="19" customFormat="false" ht="12.85" hidden="false" customHeight="true" outlineLevel="0" collapsed="false">
      <c r="A19" s="2"/>
    </row>
    <row r="20" customFormat="false" ht="13.5" hidden="false" customHeight="true" outlineLevel="0" collapsed="false">
      <c r="A20" s="2"/>
      <c r="D20" s="6"/>
    </row>
    <row r="21" customFormat="false" ht="16.5" hidden="false" customHeight="true" outlineLevel="0" collapsed="false">
      <c r="A21" s="2"/>
      <c r="B21" s="8" t="s">
        <v>2</v>
      </c>
      <c r="C21" s="8"/>
      <c r="D21" s="9" t="s">
        <v>3</v>
      </c>
      <c r="E21" s="10" t="s">
        <v>4</v>
      </c>
      <c r="F21" s="10" t="s">
        <v>5</v>
      </c>
    </row>
    <row r="22" customFormat="false" ht="24.75" hidden="false" customHeight="true" outlineLevel="0" collapsed="false">
      <c r="A22" s="2"/>
      <c r="B22" s="11" t="s">
        <v>53</v>
      </c>
      <c r="C22" s="11"/>
      <c r="D22" s="12" t="n">
        <v>0.9085</v>
      </c>
      <c r="E22" s="13" t="n">
        <v>164</v>
      </c>
      <c r="F22" s="14" t="s">
        <v>54</v>
      </c>
    </row>
    <row r="23" customFormat="false" ht="16.5" hidden="false" customHeight="true" outlineLevel="0" collapsed="false">
      <c r="A23" s="2"/>
      <c r="B23" s="11"/>
      <c r="C23" s="11"/>
      <c r="D23" s="15" t="s">
        <v>55</v>
      </c>
      <c r="E23" s="16" t="s">
        <v>9</v>
      </c>
      <c r="F23" s="16" t="s">
        <v>56</v>
      </c>
    </row>
    <row r="24" customFormat="false" ht="13.5" hidden="false" customHeight="true" outlineLevel="0" collapsed="false">
      <c r="A24" s="2"/>
      <c r="B24" s="17" t="s">
        <v>11</v>
      </c>
      <c r="C24" s="17" t="s">
        <v>12</v>
      </c>
      <c r="D24" s="18" t="s">
        <v>13</v>
      </c>
      <c r="E24" s="18" t="s">
        <v>14</v>
      </c>
      <c r="F24" s="17" t="s">
        <v>15</v>
      </c>
    </row>
    <row r="25" customFormat="false" ht="24" hidden="false" customHeight="true" outlineLevel="0" collapsed="false">
      <c r="A25" s="2"/>
      <c r="B25" s="19" t="s">
        <v>16</v>
      </c>
      <c r="C25" s="20" t="s">
        <v>17</v>
      </c>
      <c r="D25" s="21" t="n">
        <v>164</v>
      </c>
      <c r="E25" s="22" t="s">
        <v>18</v>
      </c>
      <c r="F25" s="23" t="s">
        <v>19</v>
      </c>
    </row>
    <row r="26" customFormat="false" ht="19.5" hidden="false" customHeight="true" outlineLevel="0" collapsed="false">
      <c r="A26" s="2"/>
      <c r="B26" s="24" t="s">
        <v>20</v>
      </c>
      <c r="C26" s="25" t="s">
        <v>17</v>
      </c>
      <c r="D26" s="26" t="n">
        <v>0.9085</v>
      </c>
      <c r="E26" s="27" t="s">
        <v>57</v>
      </c>
      <c r="F26" s="28" t="s">
        <v>22</v>
      </c>
    </row>
    <row r="27" customFormat="false" ht="19.5" hidden="false" customHeight="true" outlineLevel="0" collapsed="false">
      <c r="A27" s="2"/>
      <c r="B27" s="19" t="s">
        <v>23</v>
      </c>
      <c r="C27" s="20" t="s">
        <v>17</v>
      </c>
      <c r="D27" s="29" t="n">
        <v>0.0915</v>
      </c>
      <c r="E27" s="22" t="s">
        <v>58</v>
      </c>
      <c r="F27" s="23" t="s">
        <v>25</v>
      </c>
    </row>
    <row r="28" customFormat="false" ht="19.5" hidden="false" customHeight="true" outlineLevel="0" collapsed="false">
      <c r="A28" s="2"/>
      <c r="B28" s="24" t="s">
        <v>59</v>
      </c>
      <c r="C28" s="25" t="s">
        <v>27</v>
      </c>
      <c r="D28" s="30" t="n">
        <v>15.06</v>
      </c>
      <c r="E28" s="27" t="s">
        <v>28</v>
      </c>
      <c r="F28" s="28" t="s">
        <v>29</v>
      </c>
    </row>
    <row r="29" customFormat="false" ht="19.5" hidden="false" customHeight="true" outlineLevel="0" collapsed="false">
      <c r="A29" s="2"/>
      <c r="B29" s="19" t="s">
        <v>60</v>
      </c>
      <c r="C29" s="20" t="s">
        <v>27</v>
      </c>
      <c r="D29" s="21" t="n">
        <v>182957</v>
      </c>
      <c r="E29" s="22" t="s">
        <v>31</v>
      </c>
      <c r="F29" s="23" t="s">
        <v>32</v>
      </c>
    </row>
    <row r="30" customFormat="false" ht="19.5" hidden="false" customHeight="true" outlineLevel="0" collapsed="false">
      <c r="A30" s="2"/>
      <c r="B30" s="24" t="s">
        <v>61</v>
      </c>
      <c r="C30" s="25" t="s">
        <v>27</v>
      </c>
      <c r="D30" s="31" t="n">
        <v>877.4</v>
      </c>
      <c r="E30" s="27" t="s">
        <v>62</v>
      </c>
      <c r="F30" s="28" t="s">
        <v>63</v>
      </c>
    </row>
    <row r="31" customFormat="false" ht="19.5" hidden="false" customHeight="true" outlineLevel="0" collapsed="false">
      <c r="A31" s="2"/>
      <c r="B31" s="19" t="s">
        <v>36</v>
      </c>
      <c r="C31" s="20" t="s">
        <v>37</v>
      </c>
      <c r="D31" s="32" t="s">
        <v>64</v>
      </c>
      <c r="E31" s="22" t="s">
        <v>39</v>
      </c>
      <c r="F31" s="23" t="s">
        <v>40</v>
      </c>
    </row>
    <row r="32" customFormat="false" ht="19.5" hidden="false" customHeight="true" outlineLevel="0" collapsed="false">
      <c r="A32" s="2"/>
      <c r="B32" s="24" t="s">
        <v>41</v>
      </c>
      <c r="C32" s="25" t="s">
        <v>37</v>
      </c>
      <c r="D32" s="32" t="s">
        <v>65</v>
      </c>
      <c r="E32" s="27" t="s">
        <v>43</v>
      </c>
      <c r="F32" s="28" t="s">
        <v>44</v>
      </c>
    </row>
    <row r="33" customFormat="false" ht="19.5" hidden="false" customHeight="true" outlineLevel="0" collapsed="false">
      <c r="A33" s="2"/>
      <c r="B33" s="19" t="s">
        <v>45</v>
      </c>
      <c r="C33" s="20" t="s">
        <v>37</v>
      </c>
      <c r="D33" s="32" t="n">
        <v>49.33</v>
      </c>
      <c r="E33" s="22" t="s">
        <v>47</v>
      </c>
      <c r="F33" s="23" t="s">
        <v>48</v>
      </c>
    </row>
    <row r="34" customFormat="false" ht="20.85" hidden="false" customHeight="true" outlineLevel="0" collapsed="false">
      <c r="A34" s="2"/>
      <c r="B34" s="24" t="s">
        <v>49</v>
      </c>
      <c r="C34" s="25" t="s">
        <v>37</v>
      </c>
      <c r="D34" s="32" t="s">
        <v>66</v>
      </c>
      <c r="E34" s="27" t="s">
        <v>51</v>
      </c>
      <c r="F34" s="28" t="s">
        <v>52</v>
      </c>
    </row>
    <row r="35" customFormat="false" ht="12.85" hidden="false" customHeight="true" outlineLevel="0" collapsed="false">
      <c r="A35" s="2"/>
      <c r="B35" s="0"/>
      <c r="C35" s="0"/>
      <c r="D35" s="0"/>
      <c r="E35" s="0"/>
      <c r="F35" s="0"/>
    </row>
    <row r="36" customFormat="false" ht="12.85" hidden="false" customHeight="true" outlineLevel="0" collapsed="false">
      <c r="A36" s="2"/>
      <c r="D36" s="6"/>
    </row>
    <row r="37" customFormat="false" ht="13.5" hidden="false" customHeight="true" outlineLevel="0" collapsed="false">
      <c r="A37" s="2"/>
      <c r="B37" s="8" t="s">
        <v>2</v>
      </c>
      <c r="C37" s="8"/>
      <c r="D37" s="9" t="s">
        <v>3</v>
      </c>
      <c r="E37" s="10" t="s">
        <v>4</v>
      </c>
      <c r="F37" s="10" t="s">
        <v>5</v>
      </c>
    </row>
    <row r="38" customFormat="false" ht="16.5" hidden="false" customHeight="true" outlineLevel="0" collapsed="false">
      <c r="A38" s="2"/>
      <c r="B38" s="11" t="s">
        <v>67</v>
      </c>
      <c r="C38" s="11"/>
      <c r="D38" s="12" t="n">
        <v>0.8841</v>
      </c>
      <c r="E38" s="13" t="n">
        <v>164</v>
      </c>
      <c r="F38" s="14" t="n">
        <v>1.24</v>
      </c>
    </row>
    <row r="39" customFormat="false" ht="24.75" hidden="false" customHeight="true" outlineLevel="0" collapsed="false">
      <c r="A39" s="2"/>
      <c r="B39" s="11"/>
      <c r="C39" s="11"/>
      <c r="D39" s="15" t="s">
        <v>68</v>
      </c>
      <c r="E39" s="16" t="s">
        <v>9</v>
      </c>
      <c r="F39" s="16" t="s">
        <v>56</v>
      </c>
    </row>
    <row r="40" customFormat="false" ht="16.5" hidden="false" customHeight="true" outlineLevel="0" collapsed="false">
      <c r="A40" s="2"/>
      <c r="B40" s="17" t="s">
        <v>11</v>
      </c>
      <c r="C40" s="17" t="s">
        <v>12</v>
      </c>
      <c r="D40" s="18" t="s">
        <v>13</v>
      </c>
      <c r="E40" s="18" t="s">
        <v>14</v>
      </c>
      <c r="F40" s="17" t="s">
        <v>15</v>
      </c>
    </row>
    <row r="41" customFormat="false" ht="13.5" hidden="false" customHeight="true" outlineLevel="0" collapsed="false">
      <c r="A41" s="2"/>
      <c r="B41" s="19" t="s">
        <v>16</v>
      </c>
      <c r="C41" s="20" t="s">
        <v>17</v>
      </c>
      <c r="D41" s="21" t="n">
        <v>164</v>
      </c>
      <c r="E41" s="22" t="s">
        <v>18</v>
      </c>
      <c r="F41" s="23" t="s">
        <v>19</v>
      </c>
    </row>
    <row r="42" customFormat="false" ht="24" hidden="false" customHeight="true" outlineLevel="0" collapsed="false">
      <c r="A42" s="2"/>
      <c r="B42" s="24" t="s">
        <v>20</v>
      </c>
      <c r="C42" s="25" t="s">
        <v>17</v>
      </c>
      <c r="D42" s="26" t="n">
        <v>0.8841</v>
      </c>
      <c r="E42" s="27" t="s">
        <v>69</v>
      </c>
      <c r="F42" s="28" t="s">
        <v>22</v>
      </c>
    </row>
    <row r="43" customFormat="false" ht="19.5" hidden="false" customHeight="true" outlineLevel="0" collapsed="false">
      <c r="A43" s="2"/>
      <c r="B43" s="19" t="s">
        <v>23</v>
      </c>
      <c r="C43" s="20" t="s">
        <v>17</v>
      </c>
      <c r="D43" s="29" t="n">
        <v>0.1159</v>
      </c>
      <c r="E43" s="22" t="s">
        <v>70</v>
      </c>
      <c r="F43" s="23" t="s">
        <v>25</v>
      </c>
    </row>
    <row r="44" customFormat="false" ht="19.5" hidden="false" customHeight="true" outlineLevel="0" collapsed="false">
      <c r="A44" s="2"/>
      <c r="B44" s="24" t="s">
        <v>59</v>
      </c>
      <c r="C44" s="25" t="s">
        <v>27</v>
      </c>
      <c r="D44" s="30" t="n">
        <v>1.2</v>
      </c>
      <c r="E44" s="27" t="s">
        <v>28</v>
      </c>
      <c r="F44" s="28" t="s">
        <v>29</v>
      </c>
    </row>
    <row r="45" customFormat="false" ht="19.5" hidden="false" customHeight="true" outlineLevel="0" collapsed="false">
      <c r="A45" s="2"/>
      <c r="B45" s="19" t="s">
        <v>60</v>
      </c>
      <c r="C45" s="20" t="s">
        <v>27</v>
      </c>
      <c r="D45" s="21" t="n">
        <v>60354</v>
      </c>
      <c r="E45" s="22" t="s">
        <v>31</v>
      </c>
      <c r="F45" s="23" t="s">
        <v>32</v>
      </c>
    </row>
    <row r="46" customFormat="false" ht="19.5" hidden="false" customHeight="true" outlineLevel="0" collapsed="false">
      <c r="A46" s="2"/>
      <c r="B46" s="24" t="s">
        <v>61</v>
      </c>
      <c r="C46" s="25" t="s">
        <v>27</v>
      </c>
      <c r="D46" s="31" t="s">
        <v>71</v>
      </c>
      <c r="E46" s="27" t="s">
        <v>62</v>
      </c>
      <c r="F46" s="28" t="s">
        <v>63</v>
      </c>
    </row>
    <row r="47" customFormat="false" ht="19.5" hidden="false" customHeight="true" outlineLevel="0" collapsed="false">
      <c r="A47" s="2"/>
      <c r="B47" s="19" t="s">
        <v>36</v>
      </c>
      <c r="C47" s="20" t="s">
        <v>37</v>
      </c>
      <c r="D47" s="32" t="s">
        <v>72</v>
      </c>
      <c r="E47" s="22" t="s">
        <v>39</v>
      </c>
      <c r="F47" s="23" t="s">
        <v>40</v>
      </c>
    </row>
    <row r="48" customFormat="false" ht="19.5" hidden="false" customHeight="true" outlineLevel="0" collapsed="false">
      <c r="A48" s="2"/>
      <c r="B48" s="24" t="s">
        <v>41</v>
      </c>
      <c r="C48" s="25" t="s">
        <v>37</v>
      </c>
      <c r="D48" s="33" t="s">
        <v>73</v>
      </c>
      <c r="E48" s="27" t="s">
        <v>43</v>
      </c>
      <c r="F48" s="28" t="s">
        <v>44</v>
      </c>
    </row>
    <row r="49" customFormat="false" ht="19.5" hidden="false" customHeight="true" outlineLevel="0" collapsed="false">
      <c r="A49" s="2"/>
      <c r="B49" s="19" t="s">
        <v>45</v>
      </c>
      <c r="C49" s="20" t="s">
        <v>37</v>
      </c>
      <c r="D49" s="32" t="s">
        <v>74</v>
      </c>
      <c r="E49" s="22" t="s">
        <v>47</v>
      </c>
      <c r="F49" s="23" t="s">
        <v>48</v>
      </c>
    </row>
    <row r="50" customFormat="false" ht="19.5" hidden="false" customHeight="true" outlineLevel="0" collapsed="false">
      <c r="A50" s="2"/>
      <c r="B50" s="24" t="s">
        <v>49</v>
      </c>
      <c r="C50" s="25" t="s">
        <v>37</v>
      </c>
      <c r="D50" s="31" t="s">
        <v>75</v>
      </c>
      <c r="E50" s="27" t="s">
        <v>51</v>
      </c>
      <c r="F50" s="28" t="s">
        <v>52</v>
      </c>
    </row>
    <row r="51" customFormat="false" ht="12.85" hidden="false" customHeight="true" outlineLevel="0" collapsed="false">
      <c r="A51" s="2"/>
    </row>
    <row r="52" customFormat="false" ht="12" hidden="false" customHeight="true" outlineLevel="0" collapsed="false">
      <c r="A52" s="2"/>
    </row>
    <row r="53" customFormat="false" ht="13.5" hidden="false" customHeight="true" outlineLevel="0" collapsed="false">
      <c r="A53" s="2"/>
      <c r="B53" s="8" t="s">
        <v>2</v>
      </c>
      <c r="C53" s="8"/>
      <c r="D53" s="9" t="s">
        <v>3</v>
      </c>
      <c r="E53" s="10" t="s">
        <v>4</v>
      </c>
      <c r="F53" s="10" t="s">
        <v>5</v>
      </c>
    </row>
    <row r="54" customFormat="false" ht="17.35" hidden="false" customHeight="false" outlineLevel="0" collapsed="false">
      <c r="A54" s="2"/>
      <c r="B54" s="11" t="s">
        <v>76</v>
      </c>
      <c r="C54" s="11"/>
      <c r="D54" s="12" t="n">
        <v>0.8476</v>
      </c>
      <c r="E54" s="13" t="n">
        <v>164</v>
      </c>
      <c r="F54" s="14" t="n">
        <v>1.09</v>
      </c>
    </row>
    <row r="55" customFormat="false" ht="15" hidden="false" customHeight="false" outlineLevel="0" collapsed="false">
      <c r="A55" s="2"/>
      <c r="B55" s="11"/>
      <c r="C55" s="11"/>
      <c r="D55" s="15" t="s">
        <v>77</v>
      </c>
      <c r="E55" s="16" t="s">
        <v>9</v>
      </c>
      <c r="F55" s="16" t="s">
        <v>56</v>
      </c>
    </row>
    <row r="56" customFormat="false" ht="15" hidden="false" customHeight="false" outlineLevel="0" collapsed="false">
      <c r="A56" s="2"/>
      <c r="B56" s="17" t="s">
        <v>11</v>
      </c>
      <c r="C56" s="17" t="s">
        <v>12</v>
      </c>
      <c r="D56" s="18" t="s">
        <v>13</v>
      </c>
      <c r="E56" s="18" t="s">
        <v>14</v>
      </c>
      <c r="F56" s="17" t="s">
        <v>15</v>
      </c>
    </row>
    <row r="57" customFormat="false" ht="15" hidden="false" customHeight="false" outlineLevel="0" collapsed="false">
      <c r="A57" s="2"/>
      <c r="B57" s="19" t="s">
        <v>16</v>
      </c>
      <c r="C57" s="20" t="s">
        <v>17</v>
      </c>
      <c r="D57" s="21" t="n">
        <v>164</v>
      </c>
      <c r="E57" s="22" t="s">
        <v>18</v>
      </c>
      <c r="F57" s="23" t="s">
        <v>19</v>
      </c>
    </row>
    <row r="58" customFormat="false" ht="15" hidden="false" customHeight="false" outlineLevel="0" collapsed="false">
      <c r="A58" s="2"/>
      <c r="B58" s="24" t="s">
        <v>20</v>
      </c>
      <c r="C58" s="25" t="s">
        <v>17</v>
      </c>
      <c r="D58" s="26" t="n">
        <v>0.8476</v>
      </c>
      <c r="E58" s="27" t="s">
        <v>78</v>
      </c>
      <c r="F58" s="28" t="s">
        <v>22</v>
      </c>
    </row>
    <row r="59" customFormat="false" ht="15" hidden="false" customHeight="false" outlineLevel="0" collapsed="false">
      <c r="A59" s="2"/>
      <c r="B59" s="19" t="s">
        <v>23</v>
      </c>
      <c r="C59" s="20" t="s">
        <v>17</v>
      </c>
      <c r="D59" s="29" t="n">
        <v>0.1524</v>
      </c>
      <c r="E59" s="22" t="s">
        <v>79</v>
      </c>
      <c r="F59" s="23" t="s">
        <v>25</v>
      </c>
    </row>
    <row r="60" customFormat="false" ht="15" hidden="false" customHeight="false" outlineLevel="0" collapsed="false">
      <c r="A60" s="2"/>
      <c r="B60" s="24" t="s">
        <v>59</v>
      </c>
      <c r="C60" s="25" t="s">
        <v>27</v>
      </c>
      <c r="D60" s="30" t="n">
        <v>1.09</v>
      </c>
      <c r="E60" s="27" t="s">
        <v>28</v>
      </c>
      <c r="F60" s="28" t="s">
        <v>29</v>
      </c>
    </row>
    <row r="61" customFormat="false" ht="15" hidden="false" customHeight="false" outlineLevel="0" collapsed="false">
      <c r="A61" s="2"/>
      <c r="B61" s="19" t="s">
        <v>60</v>
      </c>
      <c r="C61" s="20" t="s">
        <v>27</v>
      </c>
      <c r="D61" s="21" t="n">
        <v>109808</v>
      </c>
      <c r="E61" s="22" t="s">
        <v>31</v>
      </c>
      <c r="F61" s="23" t="s">
        <v>32</v>
      </c>
    </row>
    <row r="62" customFormat="false" ht="15" hidden="false" customHeight="false" outlineLevel="0" collapsed="false">
      <c r="A62" s="2"/>
      <c r="B62" s="24" t="s">
        <v>61</v>
      </c>
      <c r="C62" s="25" t="s">
        <v>27</v>
      </c>
      <c r="D62" s="31" t="n">
        <v>669.6</v>
      </c>
      <c r="E62" s="27" t="s">
        <v>62</v>
      </c>
      <c r="F62" s="28" t="s">
        <v>63</v>
      </c>
    </row>
    <row r="63" customFormat="false" ht="15" hidden="false" customHeight="false" outlineLevel="0" collapsed="false">
      <c r="A63" s="2"/>
      <c r="B63" s="19" t="s">
        <v>36</v>
      </c>
      <c r="C63" s="20" t="s">
        <v>37</v>
      </c>
      <c r="D63" s="32" t="s">
        <v>80</v>
      </c>
      <c r="E63" s="22" t="s">
        <v>39</v>
      </c>
      <c r="F63" s="23" t="s">
        <v>40</v>
      </c>
    </row>
    <row r="64" customFormat="false" ht="15" hidden="false" customHeight="false" outlineLevel="0" collapsed="false">
      <c r="A64" s="2"/>
      <c r="B64" s="24" t="s">
        <v>41</v>
      </c>
      <c r="C64" s="25" t="s">
        <v>37</v>
      </c>
      <c r="D64" s="33" t="s">
        <v>81</v>
      </c>
      <c r="E64" s="27" t="s">
        <v>43</v>
      </c>
      <c r="F64" s="28" t="s">
        <v>44</v>
      </c>
    </row>
    <row r="65" customFormat="false" ht="15" hidden="false" customHeight="false" outlineLevel="0" collapsed="false">
      <c r="A65" s="2"/>
      <c r="B65" s="19" t="s">
        <v>45</v>
      </c>
      <c r="C65" s="20" t="s">
        <v>37</v>
      </c>
      <c r="D65" s="32" t="s">
        <v>82</v>
      </c>
      <c r="E65" s="22" t="s">
        <v>47</v>
      </c>
      <c r="F65" s="23" t="s">
        <v>48</v>
      </c>
    </row>
    <row r="66" customFormat="false" ht="15" hidden="false" customHeight="false" outlineLevel="0" collapsed="false">
      <c r="A66" s="2"/>
      <c r="B66" s="24" t="s">
        <v>49</v>
      </c>
      <c r="C66" s="25" t="s">
        <v>37</v>
      </c>
      <c r="D66" s="31" t="s">
        <v>83</v>
      </c>
      <c r="E66" s="27" t="s">
        <v>51</v>
      </c>
      <c r="F66" s="28" t="s">
        <v>52</v>
      </c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</row>
    <row r="69" customFormat="false" ht="15" hidden="false" customHeight="false" outlineLevel="0" collapsed="false">
      <c r="A69" s="35"/>
    </row>
    <row r="70" customFormat="false" ht="15" hidden="false" customHeight="false" outlineLevel="0" collapsed="false">
      <c r="A70" s="35"/>
      <c r="B70" s="0"/>
      <c r="C70" s="0"/>
      <c r="D70" s="0"/>
      <c r="E70" s="0"/>
      <c r="F70" s="0"/>
    </row>
    <row r="71" customFormat="false" ht="15" hidden="false" customHeight="false" outlineLevel="0" collapsed="false">
      <c r="B71" s="0"/>
      <c r="C71" s="0"/>
      <c r="D71" s="0"/>
      <c r="E71" s="0"/>
      <c r="F71" s="0"/>
    </row>
    <row r="72" customFormat="false" ht="15" hidden="false" customHeight="false" outlineLevel="0" collapsed="false">
      <c r="B72" s="0"/>
      <c r="C72" s="0"/>
      <c r="D72" s="0"/>
      <c r="E72" s="0"/>
      <c r="F72" s="0"/>
    </row>
    <row r="73" customFormat="false" ht="15" hidden="false" customHeight="false" outlineLevel="0" collapsed="false">
      <c r="B73" s="0"/>
      <c r="C73" s="0"/>
      <c r="D73" s="0"/>
      <c r="E73" s="0"/>
      <c r="F73" s="0"/>
    </row>
    <row r="74" customFormat="false" ht="15" hidden="false" customHeight="false" outlineLevel="0" collapsed="false">
      <c r="B74" s="0"/>
      <c r="C74" s="0"/>
      <c r="D74" s="0"/>
      <c r="E74" s="0"/>
      <c r="F74" s="0"/>
    </row>
    <row r="75" customFormat="false" ht="15" hidden="false" customHeight="false" outlineLevel="0" collapsed="false">
      <c r="B75" s="0"/>
      <c r="C75" s="0"/>
      <c r="D75" s="0"/>
      <c r="E75" s="0"/>
      <c r="F75" s="0"/>
    </row>
    <row r="76" customFormat="false" ht="15" hidden="false" customHeight="false" outlineLevel="0" collapsed="false">
      <c r="B76" s="0"/>
      <c r="C76" s="0"/>
      <c r="D76" s="0"/>
      <c r="E76" s="0"/>
      <c r="F76" s="0"/>
    </row>
    <row r="77" customFormat="false" ht="15" hidden="false" customHeight="false" outlineLevel="0" collapsed="false">
      <c r="B77" s="0"/>
      <c r="C77" s="0"/>
      <c r="D77" s="0"/>
      <c r="E77" s="0"/>
      <c r="F77" s="0"/>
    </row>
    <row r="78" customFormat="false" ht="15" hidden="false" customHeight="false" outlineLevel="0" collapsed="false">
      <c r="B78" s="0"/>
      <c r="C78" s="0"/>
      <c r="D78" s="0"/>
      <c r="E78" s="0"/>
      <c r="F78" s="0"/>
    </row>
    <row r="79" customFormat="false" ht="15" hidden="false" customHeight="false" outlineLevel="0" collapsed="false">
      <c r="B79" s="0"/>
      <c r="C79" s="0"/>
      <c r="D79" s="0"/>
      <c r="E79" s="0"/>
      <c r="F79" s="0"/>
    </row>
    <row r="80" customFormat="false" ht="15" hidden="false" customHeight="false" outlineLevel="0" collapsed="false">
      <c r="B80" s="0"/>
      <c r="C80" s="0"/>
      <c r="D80" s="0"/>
      <c r="E80" s="0"/>
      <c r="F80" s="0"/>
    </row>
    <row r="81" customFormat="false" ht="15" hidden="false" customHeight="false" outlineLevel="0" collapsed="false">
      <c r="B81" s="0"/>
      <c r="C81" s="0"/>
      <c r="D81" s="0"/>
      <c r="E81" s="0"/>
      <c r="F81" s="0"/>
    </row>
    <row r="82" customFormat="false" ht="15" hidden="false" customHeight="false" outlineLevel="0" collapsed="false">
      <c r="B82" s="0"/>
      <c r="C82" s="0"/>
      <c r="D82" s="0"/>
      <c r="E82" s="0"/>
      <c r="F82" s="0"/>
    </row>
    <row r="83" customFormat="false" ht="15" hidden="false" customHeight="false" outlineLevel="0" collapsed="false">
      <c r="B83" s="0"/>
      <c r="C83" s="0"/>
      <c r="D83" s="0"/>
      <c r="E83" s="0"/>
      <c r="F83" s="0"/>
    </row>
  </sheetData>
  <mergeCells count="8">
    <mergeCell ref="B5:C5"/>
    <mergeCell ref="B6:C7"/>
    <mergeCell ref="B21:C21"/>
    <mergeCell ref="B22:C23"/>
    <mergeCell ref="B37:C37"/>
    <mergeCell ref="B38:C39"/>
    <mergeCell ref="B53:C53"/>
    <mergeCell ref="B54:C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44"/>
    <col collapsed="false" customWidth="true" hidden="false" outlineLevel="0" max="7" min="7" style="1" width="3"/>
  </cols>
  <sheetData>
    <row r="1" customFormat="false" ht="9.75" hidden="false" customHeight="true" outlineLevel="0" collapsed="false"/>
    <row r="2" customFormat="false" ht="24" hidden="false" customHeight="true" outlineLevel="0" collapsed="false">
      <c r="B2" s="36" t="s">
        <v>84</v>
      </c>
    </row>
    <row r="3" customFormat="false" ht="18" hidden="false" customHeight="true" outlineLevel="0" collapsed="false">
      <c r="B3" s="37" t="s">
        <v>85</v>
      </c>
    </row>
    <row r="4" customFormat="false" ht="12" hidden="false" customHeight="true" outlineLevel="0" collapsed="false"/>
    <row r="5" customFormat="false" ht="21.75" hidden="false" customHeight="true" outlineLevel="0" collapsed="false">
      <c r="B5" s="38" t="s">
        <v>86</v>
      </c>
      <c r="C5" s="38"/>
      <c r="D5" s="38"/>
      <c r="E5" s="38"/>
      <c r="F5" s="38"/>
    </row>
    <row r="6" customFormat="false" ht="19.5" hidden="false" customHeight="true" outlineLevel="0" collapsed="false">
      <c r="B6" s="39" t="s">
        <v>87</v>
      </c>
      <c r="C6" s="40" t="s">
        <v>13</v>
      </c>
      <c r="D6" s="40" t="s">
        <v>88</v>
      </c>
      <c r="E6" s="40" t="s">
        <v>14</v>
      </c>
      <c r="F6" s="39" t="s">
        <v>15</v>
      </c>
    </row>
    <row r="7" customFormat="false" ht="19.5" hidden="false" customHeight="true" outlineLevel="0" collapsed="false">
      <c r="B7" s="41" t="s">
        <v>89</v>
      </c>
      <c r="C7" s="42" t="n">
        <v>125</v>
      </c>
      <c r="D7" s="43" t="s">
        <v>90</v>
      </c>
      <c r="E7" s="43" t="s">
        <v>18</v>
      </c>
      <c r="F7" s="44" t="s">
        <v>91</v>
      </c>
    </row>
    <row r="8" customFormat="false" ht="19.5" hidden="false" customHeight="true" outlineLevel="0" collapsed="false">
      <c r="B8" s="45" t="s">
        <v>92</v>
      </c>
      <c r="C8" s="46" t="n">
        <v>39</v>
      </c>
      <c r="D8" s="47" t="s">
        <v>90</v>
      </c>
      <c r="E8" s="47" t="s">
        <v>18</v>
      </c>
      <c r="F8" s="48" t="s">
        <v>93</v>
      </c>
    </row>
    <row r="9" customFormat="false" ht="19.5" hidden="false" customHeight="true" outlineLevel="0" collapsed="false">
      <c r="B9" s="41" t="s">
        <v>16</v>
      </c>
      <c r="C9" s="42" t="n">
        <f aca="false">C7+C8</f>
        <v>164</v>
      </c>
      <c r="D9" s="43" t="s">
        <v>90</v>
      </c>
      <c r="E9" s="43" t="s">
        <v>18</v>
      </c>
      <c r="F9" s="44" t="s">
        <v>94</v>
      </c>
    </row>
    <row r="10" customFormat="false" ht="19.5" hidden="false" customHeight="true" outlineLevel="0" collapsed="false">
      <c r="B10" s="45" t="s">
        <v>95</v>
      </c>
      <c r="C10" s="49" t="n">
        <f aca="false">C7/C9</f>
        <v>0.76219512195122</v>
      </c>
      <c r="D10" s="47" t="s">
        <v>96</v>
      </c>
      <c r="E10" s="47" t="s">
        <v>97</v>
      </c>
      <c r="F10" s="48" t="s">
        <v>98</v>
      </c>
    </row>
    <row r="11" customFormat="false" ht="19.5" hidden="false" customHeight="true" outlineLevel="0" collapsed="false">
      <c r="B11" s="41" t="s">
        <v>23</v>
      </c>
      <c r="C11" s="50" t="n">
        <f aca="false">C8/C9</f>
        <v>0.23780487804878</v>
      </c>
      <c r="D11" s="43" t="s">
        <v>96</v>
      </c>
      <c r="E11" s="43" t="s">
        <v>97</v>
      </c>
      <c r="F11" s="44" t="s">
        <v>99</v>
      </c>
    </row>
    <row r="12" customFormat="false" ht="12" hidden="false" customHeight="true" outlineLevel="0" collapsed="false"/>
    <row r="13" customFormat="false" ht="12" hidden="false" customHeight="true" outlineLevel="0" collapsed="false"/>
    <row r="14" customFormat="false" ht="21.75" hidden="false" customHeight="true" outlineLevel="0" collapsed="false">
      <c r="B14" s="38" t="s">
        <v>100</v>
      </c>
      <c r="C14" s="38"/>
      <c r="D14" s="38"/>
      <c r="E14" s="38"/>
      <c r="F14" s="38"/>
    </row>
    <row r="15" customFormat="false" ht="19.5" hidden="false" customHeight="true" outlineLevel="0" collapsed="false">
      <c r="B15" s="39" t="s">
        <v>87</v>
      </c>
      <c r="C15" s="40" t="s">
        <v>13</v>
      </c>
      <c r="D15" s="40" t="s">
        <v>88</v>
      </c>
      <c r="E15" s="40" t="s">
        <v>14</v>
      </c>
      <c r="F15" s="39" t="s">
        <v>15</v>
      </c>
    </row>
    <row r="16" customFormat="false" ht="19.5" hidden="false" customHeight="true" outlineLevel="0" collapsed="false">
      <c r="B16" s="45" t="s">
        <v>59</v>
      </c>
      <c r="C16" s="51" t="n">
        <v>1.4</v>
      </c>
      <c r="D16" s="47" t="s">
        <v>101</v>
      </c>
      <c r="E16" s="47" t="s">
        <v>28</v>
      </c>
      <c r="F16" s="48" t="s">
        <v>102</v>
      </c>
    </row>
    <row r="17" customFormat="false" ht="19.5" hidden="false" customHeight="true" outlineLevel="0" collapsed="false">
      <c r="B17" s="41" t="s">
        <v>60</v>
      </c>
      <c r="C17" s="42" t="n">
        <v>46208</v>
      </c>
      <c r="D17" s="43" t="s">
        <v>90</v>
      </c>
      <c r="E17" s="43" t="s">
        <v>31</v>
      </c>
      <c r="F17" s="44" t="s">
        <v>103</v>
      </c>
    </row>
    <row r="18" customFormat="false" ht="19.5" hidden="false" customHeight="true" outlineLevel="0" collapsed="false">
      <c r="B18" s="45" t="s">
        <v>61</v>
      </c>
      <c r="C18" s="52" t="n">
        <v>65.6</v>
      </c>
      <c r="D18" s="47" t="s">
        <v>104</v>
      </c>
      <c r="E18" s="47" t="s">
        <v>62</v>
      </c>
      <c r="F18" s="48" t="s">
        <v>105</v>
      </c>
    </row>
    <row r="19" customFormat="false" ht="12" hidden="false" customHeight="true" outlineLevel="0" collapsed="false"/>
    <row r="20" customFormat="false" ht="21.75" hidden="false" customHeight="true" outlineLevel="0" collapsed="false">
      <c r="B20" s="38" t="s">
        <v>106</v>
      </c>
      <c r="C20" s="38"/>
      <c r="D20" s="38"/>
      <c r="E20" s="38"/>
      <c r="F20" s="38"/>
    </row>
    <row r="21" customFormat="false" ht="19.5" hidden="false" customHeight="true" outlineLevel="0" collapsed="false">
      <c r="B21" s="39" t="s">
        <v>87</v>
      </c>
      <c r="C21" s="40" t="s">
        <v>13</v>
      </c>
      <c r="D21" s="40" t="s">
        <v>88</v>
      </c>
      <c r="E21" s="40" t="s">
        <v>14</v>
      </c>
      <c r="F21" s="39" t="s">
        <v>15</v>
      </c>
    </row>
    <row r="22" customFormat="false" ht="19.5" hidden="false" customHeight="true" outlineLevel="0" collapsed="false">
      <c r="B22" s="45" t="s">
        <v>36</v>
      </c>
      <c r="C22" s="53" t="n">
        <v>2.91</v>
      </c>
      <c r="D22" s="47" t="s">
        <v>107</v>
      </c>
      <c r="E22" s="47" t="s">
        <v>39</v>
      </c>
      <c r="F22" s="48" t="s">
        <v>108</v>
      </c>
    </row>
    <row r="23" customFormat="false" ht="19.5" hidden="false" customHeight="true" outlineLevel="0" collapsed="false">
      <c r="B23" s="41" t="s">
        <v>41</v>
      </c>
      <c r="C23" s="54" t="n">
        <v>60.98</v>
      </c>
      <c r="D23" s="43" t="s">
        <v>107</v>
      </c>
      <c r="E23" s="43" t="s">
        <v>43</v>
      </c>
      <c r="F23" s="44" t="s">
        <v>109</v>
      </c>
    </row>
    <row r="24" customFormat="false" ht="19.5" hidden="false" customHeight="true" outlineLevel="0" collapsed="false">
      <c r="B24" s="45" t="s">
        <v>45</v>
      </c>
      <c r="C24" s="53" t="n">
        <v>34.35</v>
      </c>
      <c r="D24" s="47" t="s">
        <v>107</v>
      </c>
      <c r="E24" s="47" t="s">
        <v>47</v>
      </c>
      <c r="F24" s="48" t="s">
        <v>110</v>
      </c>
    </row>
    <row r="25" customFormat="false" ht="19.5" hidden="false" customHeight="true" outlineLevel="0" collapsed="false">
      <c r="B25" s="41" t="s">
        <v>49</v>
      </c>
      <c r="C25" s="55" t="n">
        <v>5</v>
      </c>
      <c r="D25" s="43" t="s">
        <v>104</v>
      </c>
      <c r="E25" s="43" t="s">
        <v>51</v>
      </c>
      <c r="F25" s="44" t="s">
        <v>111</v>
      </c>
    </row>
  </sheetData>
  <mergeCells count="3">
    <mergeCell ref="B5:F5"/>
    <mergeCell ref="B14:F14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2026-10-03T18:06:22Z</dcterms:created>
  <dc:creator>openpyxl</dc:creator>
  <dc:description/>
  <dc:language>pt-BR</dc:language>
  <cp:lastModifiedBy/>
  <dcterms:modified xsi:type="dcterms:W3CDTF">2026-10-29T16:40:08Z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